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/>
  <mc:AlternateContent xmlns:mc="http://schemas.openxmlformats.org/markup-compatibility/2006">
    <mc:Choice Requires="x15">
      <x15ac:absPath xmlns:x15ac="http://schemas.microsoft.com/office/spreadsheetml/2010/11/ac" url="/Users/xd/Downloads/"/>
    </mc:Choice>
  </mc:AlternateContent>
  <xr:revisionPtr revIDLastSave="0" documentId="8_{1EF67AC6-D687-D049-9C5E-17960FBC2548}" xr6:coauthVersionLast="47" xr6:coauthVersionMax="47" xr10:uidLastSave="{00000000-0000-0000-0000-000000000000}"/>
  <bookViews>
    <workbookView xWindow="0" yWindow="620" windowWidth="32460" windowHeight="165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 a="1"/>
  <c r="O3" i="1"/>
  <c r="O4" i="1" a="1"/>
  <c r="O4" i="1"/>
  <c r="O5" i="1" a="1"/>
  <c r="O5" i="1"/>
  <c r="O6" i="1" a="1"/>
  <c r="O6" i="1"/>
  <c r="G51" i="1"/>
  <c r="F51" i="1"/>
  <c r="E51" i="1"/>
  <c r="D51" i="1"/>
  <c r="O50" i="1"/>
  <c r="N50" i="1"/>
  <c r="M50" i="1"/>
  <c r="L50" i="1"/>
  <c r="O49" i="1"/>
  <c r="N49" i="1"/>
  <c r="M49" i="1"/>
  <c r="L49" i="1"/>
  <c r="O48" i="1"/>
  <c r="N48" i="1"/>
  <c r="M48" i="1"/>
  <c r="L48" i="1"/>
  <c r="O47" i="1"/>
  <c r="N47" i="1"/>
  <c r="M47" i="1"/>
  <c r="L47" i="1"/>
  <c r="O46" i="1"/>
  <c r="N46" i="1"/>
  <c r="M46" i="1"/>
  <c r="L46" i="1"/>
  <c r="O45" i="1"/>
  <c r="N45" i="1"/>
  <c r="M45" i="1"/>
  <c r="L45" i="1"/>
  <c r="O44" i="1"/>
  <c r="N44" i="1"/>
  <c r="M44" i="1"/>
  <c r="L44" i="1"/>
  <c r="O43" i="1"/>
  <c r="N43" i="1"/>
  <c r="M43" i="1"/>
  <c r="L43" i="1"/>
  <c r="O42" i="1"/>
  <c r="N42" i="1"/>
  <c r="M42" i="1"/>
  <c r="L42" i="1"/>
  <c r="O41" i="1"/>
  <c r="N41" i="1"/>
  <c r="M41" i="1"/>
  <c r="L41" i="1"/>
  <c r="O40" i="1"/>
  <c r="N40" i="1"/>
  <c r="M40" i="1"/>
  <c r="L40" i="1"/>
  <c r="O39" i="1"/>
  <c r="N39" i="1"/>
  <c r="M39" i="1"/>
  <c r="L39" i="1"/>
  <c r="O38" i="1"/>
  <c r="N38" i="1"/>
  <c r="M38" i="1"/>
  <c r="L38" i="1"/>
  <c r="O37" i="1"/>
  <c r="N37" i="1"/>
  <c r="M37" i="1"/>
  <c r="L37" i="1"/>
  <c r="O36" i="1"/>
  <c r="N36" i="1"/>
  <c r="M36" i="1"/>
  <c r="L36" i="1"/>
  <c r="O35" i="1"/>
  <c r="N35" i="1"/>
  <c r="M35" i="1"/>
  <c r="L35" i="1"/>
  <c r="O34" i="1"/>
  <c r="N34" i="1"/>
  <c r="M34" i="1"/>
  <c r="L34" i="1"/>
  <c r="O33" i="1"/>
  <c r="N33" i="1"/>
  <c r="M33" i="1"/>
  <c r="L33" i="1"/>
  <c r="O32" i="1"/>
  <c r="N32" i="1"/>
  <c r="M32" i="1"/>
  <c r="L32" i="1"/>
  <c r="O31" i="1"/>
  <c r="N31" i="1"/>
  <c r="M31" i="1"/>
  <c r="L31" i="1"/>
  <c r="O30" i="1"/>
  <c r="N30" i="1"/>
  <c r="M30" i="1"/>
  <c r="L30" i="1"/>
  <c r="O29" i="1"/>
  <c r="N29" i="1"/>
  <c r="M29" i="1"/>
  <c r="L29" i="1"/>
  <c r="O28" i="1"/>
  <c r="N28" i="1"/>
  <c r="M28" i="1"/>
  <c r="L28" i="1"/>
  <c r="O27" i="1"/>
  <c r="N27" i="1"/>
  <c r="M27" i="1"/>
  <c r="L27" i="1"/>
  <c r="O26" i="1"/>
  <c r="N26" i="1"/>
  <c r="M26" i="1"/>
  <c r="L26" i="1"/>
  <c r="O25" i="1"/>
  <c r="N25" i="1"/>
  <c r="M25" i="1"/>
  <c r="L25" i="1"/>
  <c r="O24" i="1"/>
  <c r="N24" i="1"/>
  <c r="M24" i="1"/>
  <c r="L24" i="1"/>
  <c r="O23" i="1"/>
  <c r="N23" i="1"/>
  <c r="M23" i="1"/>
  <c r="L23" i="1"/>
  <c r="O22" i="1"/>
  <c r="N22" i="1"/>
  <c r="M22" i="1"/>
  <c r="L22" i="1"/>
  <c r="O21" i="1"/>
  <c r="N21" i="1"/>
  <c r="M21" i="1"/>
  <c r="L21" i="1"/>
  <c r="O20" i="1"/>
  <c r="N20" i="1"/>
  <c r="M20" i="1"/>
  <c r="L20" i="1"/>
  <c r="O19" i="1"/>
  <c r="N19" i="1"/>
  <c r="M19" i="1"/>
  <c r="L19" i="1"/>
  <c r="O18" i="1"/>
  <c r="N18" i="1"/>
  <c r="M18" i="1"/>
  <c r="L18" i="1"/>
  <c r="O17" i="1"/>
  <c r="N17" i="1"/>
  <c r="M17" i="1"/>
  <c r="L17" i="1"/>
  <c r="O16" i="1"/>
  <c r="N16" i="1"/>
  <c r="M16" i="1"/>
  <c r="L16" i="1"/>
  <c r="O15" i="1"/>
  <c r="N15" i="1"/>
  <c r="M15" i="1"/>
  <c r="L15" i="1"/>
  <c r="O14" i="1"/>
  <c r="N14" i="1"/>
  <c r="M14" i="1"/>
  <c r="L14" i="1"/>
  <c r="O13" i="1"/>
  <c r="N13" i="1"/>
  <c r="M13" i="1"/>
  <c r="L13" i="1"/>
  <c r="O12" i="1"/>
  <c r="N12" i="1"/>
  <c r="M12" i="1"/>
  <c r="L12" i="1"/>
  <c r="O11" i="1"/>
  <c r="N11" i="1"/>
  <c r="M11" i="1"/>
  <c r="L11" i="1"/>
  <c r="AI10" i="1"/>
  <c r="AI11" i="1" s="1"/>
  <c r="AI12" i="1" s="1"/>
  <c r="AI13" i="1" s="1"/>
  <c r="AI14" i="1" s="1"/>
  <c r="AI15" i="1" s="1"/>
  <c r="AI16" i="1" s="1"/>
  <c r="AI17" i="1" s="1"/>
  <c r="AI18" i="1" s="1"/>
  <c r="AI19" i="1" s="1"/>
  <c r="AI20" i="1" s="1"/>
  <c r="AI21" i="1" s="1"/>
  <c r="AI22" i="1" s="1"/>
  <c r="AI23" i="1" s="1"/>
  <c r="AI24" i="1" s="1"/>
  <c r="AI25" i="1" s="1"/>
  <c r="AI26" i="1" s="1"/>
  <c r="AI27" i="1" s="1"/>
  <c r="AI28" i="1" s="1"/>
  <c r="AI29" i="1" s="1"/>
  <c r="AI30" i="1" s="1"/>
  <c r="AI31" i="1" s="1"/>
  <c r="AI32" i="1" s="1"/>
  <c r="AI33" i="1" s="1"/>
  <c r="AI34" i="1" s="1"/>
  <c r="AI35" i="1" s="1"/>
  <c r="AI36" i="1" s="1"/>
  <c r="AI37" i="1" s="1"/>
  <c r="AI38" i="1" s="1"/>
  <c r="AI39" i="1" s="1"/>
  <c r="AI40" i="1" s="1"/>
  <c r="AI41" i="1" s="1"/>
  <c r="AI42" i="1" s="1"/>
  <c r="AI43" i="1" s="1"/>
  <c r="AI44" i="1" s="1"/>
  <c r="AI45" i="1" s="1"/>
  <c r="AI46" i="1" s="1"/>
  <c r="AI47" i="1" s="1"/>
  <c r="AI48" i="1" s="1"/>
  <c r="AI49" i="1" s="1"/>
  <c r="AI50" i="1" s="1"/>
  <c r="Z10" i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R10" i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O10" i="1"/>
  <c r="N10" i="1"/>
  <c r="M10" i="1"/>
  <c r="L10" i="1"/>
  <c r="J10" i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B10" i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O9" i="1"/>
  <c r="N9" i="1"/>
  <c r="M9" i="1"/>
  <c r="L9" i="1"/>
  <c r="M6" i="1" a="1"/>
  <c r="M6" i="1"/>
  <c r="L6" i="1" a="1"/>
  <c r="L6" i="1"/>
  <c r="K6" i="1" a="1"/>
  <c r="K6" i="1"/>
  <c r="J6" i="1" a="1"/>
  <c r="J6" i="1"/>
  <c r="M5" i="1" a="1"/>
  <c r="M5" i="1"/>
  <c r="L5" i="1" a="1"/>
  <c r="L5" i="1"/>
  <c r="K5" i="1" a="1"/>
  <c r="K5" i="1"/>
  <c r="J5" i="1" a="1"/>
  <c r="J5" i="1"/>
  <c r="M4" i="1" a="1"/>
  <c r="M4" i="1"/>
  <c r="L4" i="1" a="1"/>
  <c r="L4" i="1"/>
  <c r="K4" i="1" a="1"/>
  <c r="K4" i="1"/>
  <c r="J4" i="1" a="1"/>
  <c r="J4" i="1"/>
  <c r="M3" i="1" a="1"/>
  <c r="M3" i="1"/>
  <c r="L3" i="1" a="1"/>
  <c r="L3" i="1"/>
  <c r="K3" i="1" a="1"/>
  <c r="K3" i="1"/>
  <c r="J3" i="1" a="1"/>
  <c r="J3" i="1"/>
  <c r="T7" i="1" s="1"/>
  <c r="U7" i="1" l="1"/>
  <c r="V7" i="1"/>
  <c r="W7" i="1"/>
  <c r="L52" i="1"/>
  <c r="L51" i="1"/>
  <c r="T9" i="1"/>
  <c r="M52" i="1"/>
  <c r="M51" i="1"/>
  <c r="U9" i="1"/>
  <c r="N52" i="1"/>
  <c r="N51" i="1"/>
  <c r="V9" i="1"/>
  <c r="O52" i="1"/>
  <c r="O51" i="1"/>
  <c r="W9" i="1"/>
  <c r="T10" i="1"/>
  <c r="U10" i="1"/>
  <c r="V10" i="1"/>
  <c r="W10" i="1"/>
  <c r="T11" i="1"/>
  <c r="U11" i="1"/>
  <c r="V11" i="1"/>
  <c r="W11" i="1"/>
  <c r="T12" i="1"/>
  <c r="U12" i="1"/>
  <c r="V12" i="1"/>
  <c r="W12" i="1"/>
  <c r="T13" i="1"/>
  <c r="U13" i="1"/>
  <c r="V13" i="1"/>
  <c r="W13" i="1"/>
  <c r="T14" i="1"/>
  <c r="U14" i="1"/>
  <c r="V14" i="1"/>
  <c r="W14" i="1"/>
  <c r="T15" i="1"/>
  <c r="U15" i="1"/>
  <c r="V15" i="1"/>
  <c r="W15" i="1"/>
  <c r="T16" i="1"/>
  <c r="U16" i="1"/>
  <c r="V16" i="1"/>
  <c r="W16" i="1"/>
  <c r="T17" i="1"/>
  <c r="U17" i="1"/>
  <c r="V17" i="1"/>
  <c r="W17" i="1"/>
  <c r="T18" i="1"/>
  <c r="U18" i="1"/>
  <c r="V18" i="1"/>
  <c r="W18" i="1"/>
  <c r="T19" i="1"/>
  <c r="U19" i="1"/>
  <c r="V19" i="1"/>
  <c r="W19" i="1"/>
  <c r="T20" i="1"/>
  <c r="U20" i="1"/>
  <c r="V20" i="1"/>
  <c r="W20" i="1"/>
  <c r="T21" i="1"/>
  <c r="U21" i="1"/>
  <c r="V21" i="1"/>
  <c r="W21" i="1"/>
  <c r="T22" i="1"/>
  <c r="U22" i="1"/>
  <c r="V22" i="1"/>
  <c r="W22" i="1"/>
  <c r="T23" i="1"/>
  <c r="U23" i="1"/>
  <c r="V23" i="1"/>
  <c r="W23" i="1"/>
  <c r="T24" i="1"/>
  <c r="U24" i="1"/>
  <c r="V24" i="1"/>
  <c r="W24" i="1"/>
  <c r="T25" i="1"/>
  <c r="U25" i="1"/>
  <c r="V25" i="1"/>
  <c r="W25" i="1"/>
  <c r="T26" i="1"/>
  <c r="U26" i="1"/>
  <c r="V26" i="1"/>
  <c r="W26" i="1"/>
  <c r="T27" i="1"/>
  <c r="U27" i="1"/>
  <c r="V27" i="1"/>
  <c r="W27" i="1"/>
  <c r="T28" i="1"/>
  <c r="U28" i="1"/>
  <c r="V28" i="1"/>
  <c r="W28" i="1"/>
  <c r="T29" i="1"/>
  <c r="U29" i="1"/>
  <c r="V29" i="1"/>
  <c r="W29" i="1"/>
  <c r="T30" i="1"/>
  <c r="U30" i="1"/>
  <c r="V30" i="1"/>
  <c r="W30" i="1"/>
  <c r="T31" i="1"/>
  <c r="U31" i="1"/>
  <c r="V31" i="1"/>
  <c r="W31" i="1"/>
  <c r="T32" i="1"/>
  <c r="U32" i="1"/>
  <c r="V32" i="1"/>
  <c r="W32" i="1"/>
  <c r="T33" i="1"/>
  <c r="U33" i="1"/>
  <c r="V33" i="1"/>
  <c r="W33" i="1"/>
  <c r="T34" i="1"/>
  <c r="U34" i="1"/>
  <c r="V34" i="1"/>
  <c r="W34" i="1"/>
  <c r="T35" i="1"/>
  <c r="U35" i="1"/>
  <c r="V35" i="1"/>
  <c r="W35" i="1"/>
  <c r="T36" i="1"/>
  <c r="U36" i="1"/>
  <c r="V36" i="1"/>
  <c r="W36" i="1"/>
  <c r="T37" i="1"/>
  <c r="U37" i="1"/>
  <c r="V37" i="1"/>
  <c r="W37" i="1"/>
  <c r="T38" i="1"/>
  <c r="U38" i="1"/>
  <c r="V38" i="1"/>
  <c r="W38" i="1"/>
  <c r="T39" i="1"/>
  <c r="U39" i="1"/>
  <c r="V39" i="1"/>
  <c r="W39" i="1"/>
  <c r="T40" i="1"/>
  <c r="U40" i="1"/>
  <c r="V40" i="1"/>
  <c r="W40" i="1"/>
  <c r="T41" i="1"/>
  <c r="U41" i="1"/>
  <c r="V41" i="1"/>
  <c r="W41" i="1"/>
  <c r="T42" i="1"/>
  <c r="U42" i="1"/>
  <c r="V42" i="1"/>
  <c r="W42" i="1"/>
  <c r="T43" i="1"/>
  <c r="U43" i="1"/>
  <c r="V43" i="1"/>
  <c r="W43" i="1"/>
  <c r="T44" i="1"/>
  <c r="U44" i="1"/>
  <c r="V44" i="1"/>
  <c r="W44" i="1"/>
  <c r="T45" i="1"/>
  <c r="U45" i="1"/>
  <c r="V45" i="1"/>
  <c r="W45" i="1"/>
  <c r="T46" i="1"/>
  <c r="U46" i="1"/>
  <c r="V46" i="1"/>
  <c r="W46" i="1"/>
  <c r="T47" i="1"/>
  <c r="U47" i="1"/>
  <c r="V47" i="1"/>
  <c r="W47" i="1"/>
  <c r="T48" i="1"/>
  <c r="U48" i="1"/>
  <c r="V48" i="1"/>
  <c r="W48" i="1"/>
  <c r="T49" i="1"/>
  <c r="U49" i="1"/>
  <c r="V49" i="1"/>
  <c r="W49" i="1"/>
  <c r="T50" i="1"/>
  <c r="U50" i="1"/>
  <c r="V50" i="1"/>
  <c r="W50" i="1"/>
  <c r="W51" i="1" l="1"/>
  <c r="V51" i="1"/>
  <c r="U51" i="1"/>
  <c r="T51" i="1"/>
  <c r="AC9" i="1"/>
  <c r="AB9" i="1"/>
  <c r="AC50" i="1" l="1"/>
  <c r="AB50" i="1"/>
  <c r="AC49" i="1"/>
  <c r="AB49" i="1"/>
  <c r="AC48" i="1"/>
  <c r="AB48" i="1"/>
  <c r="AC47" i="1"/>
  <c r="AB47" i="1"/>
  <c r="AC46" i="1"/>
  <c r="AB46" i="1"/>
  <c r="AC45" i="1"/>
  <c r="AB45" i="1"/>
  <c r="AC44" i="1"/>
  <c r="AB44" i="1"/>
  <c r="AC43" i="1"/>
  <c r="AB43" i="1"/>
  <c r="AC42" i="1"/>
  <c r="AB42" i="1"/>
  <c r="AC41" i="1"/>
  <c r="AB41" i="1"/>
  <c r="AC40" i="1"/>
  <c r="AB40" i="1"/>
  <c r="AC39" i="1"/>
  <c r="AB39" i="1"/>
  <c r="AC38" i="1"/>
  <c r="AB38" i="1"/>
  <c r="AC37" i="1"/>
  <c r="AB37" i="1"/>
  <c r="AC36" i="1"/>
  <c r="AB36" i="1"/>
  <c r="AC35" i="1"/>
  <c r="AB35" i="1"/>
  <c r="AC34" i="1"/>
  <c r="AB34" i="1"/>
  <c r="AC33" i="1"/>
  <c r="AB33" i="1"/>
  <c r="AC32" i="1"/>
  <c r="AB32" i="1"/>
  <c r="AC31" i="1"/>
  <c r="AB31" i="1"/>
  <c r="AC30" i="1"/>
  <c r="AB30" i="1"/>
  <c r="AC29" i="1"/>
  <c r="AB29" i="1"/>
  <c r="AC28" i="1"/>
  <c r="AB28" i="1"/>
  <c r="AC27" i="1"/>
  <c r="AB27" i="1"/>
  <c r="AC26" i="1"/>
  <c r="AB26" i="1"/>
  <c r="AC25" i="1"/>
  <c r="AB25" i="1"/>
  <c r="AC24" i="1"/>
  <c r="AB24" i="1"/>
  <c r="AC23" i="1"/>
  <c r="AB23" i="1"/>
  <c r="AC22" i="1"/>
  <c r="AB22" i="1"/>
  <c r="AC21" i="1"/>
  <c r="AB21" i="1"/>
  <c r="AC20" i="1"/>
  <c r="AB20" i="1"/>
  <c r="AC19" i="1"/>
  <c r="AB19" i="1"/>
  <c r="AC18" i="1"/>
  <c r="AB18" i="1"/>
  <c r="AC17" i="1"/>
  <c r="AB17" i="1"/>
  <c r="AC16" i="1"/>
  <c r="AB16" i="1"/>
  <c r="AC15" i="1"/>
  <c r="AB15" i="1"/>
  <c r="AC14" i="1"/>
  <c r="AB14" i="1"/>
  <c r="AC13" i="1"/>
  <c r="AB13" i="1"/>
  <c r="AC12" i="1"/>
  <c r="AB12" i="1"/>
  <c r="AC11" i="1"/>
  <c r="AB11" i="1"/>
  <c r="AC10" i="1"/>
  <c r="AB10" i="1"/>
  <c r="AB52" i="1" l="1"/>
  <c r="AB51" i="1"/>
  <c r="AC52" i="1"/>
  <c r="AC51" i="1"/>
  <c r="AD11" i="1"/>
  <c r="AE11" i="1"/>
  <c r="AD12" i="1"/>
  <c r="AE12" i="1"/>
  <c r="AD13" i="1"/>
  <c r="AE13" i="1"/>
  <c r="AD14" i="1"/>
  <c r="AE14" i="1"/>
  <c r="AD15" i="1"/>
  <c r="AE15" i="1"/>
  <c r="AD16" i="1"/>
  <c r="AE16" i="1"/>
  <c r="AD17" i="1"/>
  <c r="AE17" i="1"/>
  <c r="AD18" i="1"/>
  <c r="AE18" i="1"/>
  <c r="AD19" i="1"/>
  <c r="AE19" i="1"/>
  <c r="AD20" i="1"/>
  <c r="AE20" i="1"/>
  <c r="AD21" i="1"/>
  <c r="AE21" i="1"/>
  <c r="AD22" i="1"/>
  <c r="AE22" i="1"/>
  <c r="AD23" i="1"/>
  <c r="AE23" i="1"/>
  <c r="AD24" i="1"/>
  <c r="AE24" i="1"/>
  <c r="AD25" i="1"/>
  <c r="AE25" i="1"/>
  <c r="AD26" i="1"/>
  <c r="AE26" i="1"/>
  <c r="AD27" i="1"/>
  <c r="AE27" i="1"/>
  <c r="AD28" i="1"/>
  <c r="AE28" i="1"/>
  <c r="AD29" i="1"/>
  <c r="AE29" i="1"/>
  <c r="AD30" i="1"/>
  <c r="AE30" i="1"/>
  <c r="AD31" i="1"/>
  <c r="AE31" i="1"/>
  <c r="AD32" i="1"/>
  <c r="AE32" i="1"/>
  <c r="AD33" i="1"/>
  <c r="AE33" i="1"/>
  <c r="AD34" i="1"/>
  <c r="AE34" i="1"/>
  <c r="AD35" i="1"/>
  <c r="AE35" i="1"/>
  <c r="AD36" i="1"/>
  <c r="AE36" i="1"/>
  <c r="AD37" i="1"/>
  <c r="AE37" i="1"/>
  <c r="AD38" i="1"/>
  <c r="AE38" i="1"/>
  <c r="AD39" i="1"/>
  <c r="AE39" i="1"/>
  <c r="AD40" i="1"/>
  <c r="AE40" i="1"/>
  <c r="AD41" i="1"/>
  <c r="AE41" i="1"/>
  <c r="AD42" i="1"/>
  <c r="AE42" i="1"/>
  <c r="AD43" i="1"/>
  <c r="AE43" i="1"/>
  <c r="AD44" i="1"/>
  <c r="AE44" i="1"/>
  <c r="AD45" i="1"/>
  <c r="AE45" i="1"/>
  <c r="AD46" i="1"/>
  <c r="AE46" i="1"/>
  <c r="AD47" i="1"/>
  <c r="AE47" i="1"/>
  <c r="AD48" i="1"/>
  <c r="AE48" i="1"/>
  <c r="AD49" i="1"/>
  <c r="AE49" i="1"/>
  <c r="AD50" i="1"/>
  <c r="AE50" i="1"/>
  <c r="AE9" i="1" l="1"/>
  <c r="AE10" i="1"/>
  <c r="AD9" i="1"/>
  <c r="AD10" i="1"/>
  <c r="AD52" i="1" l="1"/>
  <c r="AD51" i="1"/>
  <c r="AE52" i="1"/>
  <c r="AE51" i="1"/>
  <c r="AF9" i="1"/>
  <c r="AL50" i="1" l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<sst xmlns="http://schemas.openxmlformats.org/spreadsheetml/2006/main" count="262" uniqueCount="66">
  <si>
    <r>
      <rPr>
        <b/>
        <sz val="23"/>
        <color rgb="FF833C0C"/>
        <rFont val="Calibri"/>
        <family val="2"/>
      </rPr>
      <t>Syntetyczny wskażnik obciążenia psychologicznego</t>
    </r>
    <r>
      <rPr>
        <b/>
        <sz val="25"/>
        <color rgb="FF833C0C"/>
        <rFont val="Calibri"/>
        <family val="2"/>
      </rPr>
      <t xml:space="preserve"> </t>
    </r>
    <r>
      <rPr>
        <b/>
        <sz val="12"/>
        <color rgb="FF833C0C"/>
        <rFont val="Calibri"/>
        <family val="2"/>
      </rPr>
      <t>(i wpływ tego na innowacyjność)</t>
    </r>
  </si>
  <si>
    <t>Macierz korelacji</t>
  </si>
  <si>
    <t>Choroby serca (na 100 tys.)</t>
  </si>
  <si>
    <t>Udar mózgu (na 100 tys.)</t>
  </si>
  <si>
    <t>Średni czas snu (w minutach)</t>
  </si>
  <si>
    <t>Wskaźnik unikania niepewności</t>
  </si>
  <si>
    <t>b_j</t>
  </si>
  <si>
    <t>Notatka: Pięknie przygotowane dane w Excelu; bardzo interesujący opis problemu badawczego i uzasadnienie wykorzystanych zmiennych diagnostycznych; Panie Narze, świetny pomysł żeby połączyć zdrowie psychiczne i innowacyjność; ma Pan zmysł naukowca- brawo!; fajny wywód dotyczący dopasowania funkcji do wykresu rozrzutu; doceniam również bardzo, że sięgnął Pan po rzeczy, których nie było w trakcie zajęć ze mną. Brawo! :)</t>
  </si>
  <si>
    <t>Wartości zmiennych po normalizacji</t>
  </si>
  <si>
    <t>Zmienne diagnostryczne:</t>
  </si>
  <si>
    <t>Wartość zmiennej "Średni czas snu" po przekształceniu na stymulantę</t>
  </si>
  <si>
    <t>w_j</t>
  </si>
  <si>
    <t>Obliczenie odległości od wzorca orza budowa TMR</t>
  </si>
  <si>
    <t>Lp.</t>
  </si>
  <si>
    <t>Nazwa</t>
  </si>
  <si>
    <t>Średni czas snu</t>
  </si>
  <si>
    <t>d_i (ważony)</t>
  </si>
  <si>
    <t>d_i</t>
  </si>
  <si>
    <t>H_i (ważony)</t>
  </si>
  <si>
    <t>H_i</t>
  </si>
  <si>
    <t>Rank</t>
  </si>
  <si>
    <t>Australia</t>
  </si>
  <si>
    <t>Austria</t>
  </si>
  <si>
    <t>Ireland</t>
  </si>
  <si>
    <t>Belgium</t>
  </si>
  <si>
    <t>Denmark</t>
  </si>
  <si>
    <t>Brazil</t>
  </si>
  <si>
    <t>Singapore</t>
  </si>
  <si>
    <t>Canada</t>
  </si>
  <si>
    <t>New Zealand</t>
  </si>
  <si>
    <t>Chile</t>
  </si>
  <si>
    <t>Netherlands</t>
  </si>
  <si>
    <t>China</t>
  </si>
  <si>
    <t>Sweden</t>
  </si>
  <si>
    <t>Colombia</t>
  </si>
  <si>
    <t>United Kingdom</t>
  </si>
  <si>
    <t>Costa Rica</t>
  </si>
  <si>
    <t>Norway</t>
  </si>
  <si>
    <t>Switzerland</t>
  </si>
  <si>
    <t>Finland</t>
  </si>
  <si>
    <t>France</t>
  </si>
  <si>
    <t>South Africa</t>
  </si>
  <si>
    <t>Germany</t>
  </si>
  <si>
    <t>Greece</t>
  </si>
  <si>
    <t>United Arab Emirates</t>
  </si>
  <si>
    <t>Hungary</t>
  </si>
  <si>
    <t>India</t>
  </si>
  <si>
    <t>Israel</t>
  </si>
  <si>
    <t>Indonesia</t>
  </si>
  <si>
    <t>Spain</t>
  </si>
  <si>
    <t>Italy</t>
  </si>
  <si>
    <t>Japan</t>
  </si>
  <si>
    <t>Kuwait</t>
  </si>
  <si>
    <t>Malaysia</t>
  </si>
  <si>
    <t>Mexico</t>
  </si>
  <si>
    <t>Saudi Arabia</t>
  </si>
  <si>
    <t>Philippines</t>
  </si>
  <si>
    <t>Poland</t>
  </si>
  <si>
    <t>Portugal</t>
  </si>
  <si>
    <t>Romania</t>
  </si>
  <si>
    <t>Thailand</t>
  </si>
  <si>
    <t>Slovakia</t>
  </si>
  <si>
    <t>Ukraine</t>
  </si>
  <si>
    <t>Wartość maksymalna</t>
  </si>
  <si>
    <t>Śriednia</t>
  </si>
  <si>
    <t>Odchylenie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</si>
</sst>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 * #,##0.00_ ;_ * \-#,##0.00_ ;_ * &quot;-&quot;??_ ;_ @_ "/>
    <numFmt numFmtId="165" formatCode="0.00_ "/>
    <numFmt numFmtId="166" formatCode="0.0000_ "/>
    <numFmt numFmtId="167" formatCode="_ * #,##0.0000_ ;_ * \-#,##0.0000_ ;_ * &quot;-&quot;??_ ;_ @_ "/>
  </numFmts>
  <fonts count="13" x14ac:knownFonts="1">
    <font>
      <sz val="11"/>
      <color theme="1"/>
      <name val="Calibri"/>
      <charset val="134"/>
      <scheme val="minor"/>
    </font>
    <font>
      <b/>
      <sz val="24"/>
      <color theme="5" tint="-0.499984740745262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5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rgb="FF833C0C"/>
      <name val="Calibri"/>
      <family val="2"/>
    </font>
    <font>
      <b/>
      <sz val="12"/>
      <color rgb="FF833C0C"/>
      <name val="Calibri"/>
      <family val="2"/>
    </font>
    <font>
      <b/>
      <sz val="25"/>
      <color rgb="FF833C0C"/>
      <name val="Calibri"/>
      <family val="2"/>
    </font>
    <font>
      <b/>
      <sz val="23"/>
      <color rgb="FF833C0C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164" fontId="8" fillId="0" borderId="0" applyFont="0" applyFill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right" vertical="center"/>
    </xf>
    <xf numFmtId="0" fontId="4" fillId="2" borderId="5" xfId="0" applyFont="1" applyFill="1" applyBorder="1">
      <alignment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right" vertical="center"/>
    </xf>
    <xf numFmtId="0" fontId="4" fillId="2" borderId="8" xfId="0" applyFont="1" applyFill="1" applyBorder="1">
      <alignment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right" vertical="center"/>
    </xf>
    <xf numFmtId="0" fontId="4" fillId="2" borderId="11" xfId="0" applyFont="1" applyFill="1" applyBorder="1">
      <alignment vertical="center"/>
    </xf>
    <xf numFmtId="0" fontId="0" fillId="0" borderId="12" xfId="0" applyBorder="1">
      <alignment vertical="center"/>
    </xf>
    <xf numFmtId="0" fontId="4" fillId="2" borderId="13" xfId="0" applyFont="1" applyFill="1" applyBorder="1" applyAlignment="1">
      <alignment vertical="center" wrapText="1"/>
    </xf>
    <xf numFmtId="0" fontId="0" fillId="0" borderId="3" xfId="0" applyBorder="1">
      <alignment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165" fontId="6" fillId="0" borderId="6" xfId="0" applyNumberFormat="1" applyFont="1" applyBorder="1" applyAlignment="1">
      <alignment horizontal="center" vertical="center"/>
    </xf>
    <xf numFmtId="165" fontId="6" fillId="0" borderId="16" xfId="0" applyNumberFormat="1" applyFont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6" fillId="0" borderId="7" xfId="0" applyNumberFormat="1" applyFont="1" applyBorder="1" applyAlignment="1">
      <alignment horizontal="center" vertical="center"/>
    </xf>
    <xf numFmtId="165" fontId="6" fillId="0" borderId="25" xfId="0" applyNumberFormat="1" applyFont="1" applyBorder="1" applyAlignment="1">
      <alignment horizontal="center" vertical="center"/>
    </xf>
    <xf numFmtId="165" fontId="6" fillId="0" borderId="10" xfId="0" applyNumberFormat="1" applyFont="1" applyBorder="1" applyAlignment="1">
      <alignment horizontal="center" vertical="center"/>
    </xf>
    <xf numFmtId="165" fontId="6" fillId="0" borderId="26" xfId="0" applyNumberFormat="1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4" fillId="2" borderId="27" xfId="0" applyFont="1" applyFill="1" applyBorder="1">
      <alignment vertical="center"/>
    </xf>
    <xf numFmtId="0" fontId="4" fillId="2" borderId="7" xfId="0" applyFont="1" applyFill="1" applyBorder="1">
      <alignment vertical="center"/>
    </xf>
    <xf numFmtId="0" fontId="4" fillId="2" borderId="10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0" fillId="0" borderId="28" xfId="0" applyBorder="1">
      <alignment vertical="center"/>
    </xf>
    <xf numFmtId="0" fontId="3" fillId="2" borderId="3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165" fontId="6" fillId="0" borderId="17" xfId="0" applyNumberFormat="1" applyFont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 wrapText="1"/>
    </xf>
    <xf numFmtId="166" fontId="0" fillId="0" borderId="5" xfId="0" applyNumberFormat="1" applyBorder="1">
      <alignment vertical="center"/>
    </xf>
    <xf numFmtId="165" fontId="6" fillId="0" borderId="19" xfId="0" applyNumberFormat="1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166" fontId="0" fillId="0" borderId="8" xfId="0" applyNumberFormat="1" applyBorder="1">
      <alignment vertical="center"/>
    </xf>
    <xf numFmtId="165" fontId="6" fillId="0" borderId="32" xfId="0" applyNumberFormat="1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166" fontId="0" fillId="0" borderId="33" xfId="0" applyNumberFormat="1" applyBorder="1">
      <alignment vertical="center"/>
    </xf>
    <xf numFmtId="0" fontId="0" fillId="0" borderId="34" xfId="0" applyBorder="1">
      <alignment vertical="center"/>
    </xf>
    <xf numFmtId="0" fontId="0" fillId="0" borderId="32" xfId="0" applyBorder="1">
      <alignment vertical="center"/>
    </xf>
    <xf numFmtId="0" fontId="3" fillId="2" borderId="35" xfId="0" applyFont="1" applyFill="1" applyBorder="1" applyAlignment="1">
      <alignment horizontal="center" vertical="center" wrapText="1"/>
    </xf>
    <xf numFmtId="166" fontId="0" fillId="0" borderId="13" xfId="0" applyNumberFormat="1" applyBorder="1">
      <alignment vertical="center"/>
    </xf>
    <xf numFmtId="166" fontId="0" fillId="0" borderId="22" xfId="0" applyNumberFormat="1" applyBorder="1">
      <alignment vertical="center"/>
    </xf>
    <xf numFmtId="166" fontId="0" fillId="0" borderId="29" xfId="0" applyNumberFormat="1" applyBorder="1">
      <alignment vertical="center"/>
    </xf>
    <xf numFmtId="0" fontId="3" fillId="2" borderId="36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164" fontId="0" fillId="0" borderId="38" xfId="0" applyNumberFormat="1" applyBorder="1">
      <alignment vertical="center"/>
    </xf>
    <xf numFmtId="164" fontId="0" fillId="0" borderId="9" xfId="0" applyNumberFormat="1" applyBorder="1">
      <alignment vertical="center"/>
    </xf>
    <xf numFmtId="164" fontId="0" fillId="0" borderId="12" xfId="0" applyNumberFormat="1" applyBorder="1">
      <alignment vertical="center"/>
    </xf>
    <xf numFmtId="0" fontId="3" fillId="2" borderId="39" xfId="0" applyFont="1" applyFill="1" applyBorder="1" applyAlignment="1">
      <alignment horizontal="center" vertical="center" wrapText="1"/>
    </xf>
    <xf numFmtId="164" fontId="0" fillId="0" borderId="40" xfId="0" applyNumberFormat="1" applyBorder="1">
      <alignment vertical="center"/>
    </xf>
    <xf numFmtId="164" fontId="7" fillId="0" borderId="40" xfId="0" applyNumberFormat="1" applyFont="1" applyBorder="1" applyAlignment="1">
      <alignment horizontal="center" vertical="center"/>
    </xf>
    <xf numFmtId="164" fontId="0" fillId="0" borderId="5" xfId="0" applyNumberFormat="1" applyBorder="1">
      <alignment vertical="center"/>
    </xf>
    <xf numFmtId="164" fontId="0" fillId="0" borderId="25" xfId="0" applyNumberFormat="1" applyBorder="1">
      <alignment vertical="center"/>
    </xf>
    <xf numFmtId="164" fontId="7" fillId="0" borderId="25" xfId="0" applyNumberFormat="1" applyFont="1" applyBorder="1" applyAlignment="1">
      <alignment horizontal="center" vertical="center"/>
    </xf>
    <xf numFmtId="164" fontId="0" fillId="0" borderId="8" xfId="0" applyNumberFormat="1" applyBorder="1">
      <alignment vertical="center"/>
    </xf>
    <xf numFmtId="164" fontId="0" fillId="0" borderId="41" xfId="0" applyNumberFormat="1" applyBorder="1">
      <alignment vertical="center"/>
    </xf>
    <xf numFmtId="164" fontId="7" fillId="0" borderId="26" xfId="0" applyNumberFormat="1" applyFont="1" applyBorder="1" applyAlignment="1">
      <alignment horizontal="center" vertical="center"/>
    </xf>
    <xf numFmtId="164" fontId="0" fillId="0" borderId="33" xfId="0" applyNumberFormat="1" applyBorder="1">
      <alignment vertical="center"/>
    </xf>
    <xf numFmtId="0" fontId="4" fillId="2" borderId="38" xfId="0" applyFont="1" applyFill="1" applyBorder="1">
      <alignment vertical="center"/>
    </xf>
    <xf numFmtId="0" fontId="4" fillId="2" borderId="9" xfId="0" applyFont="1" applyFill="1" applyBorder="1">
      <alignment vertical="center"/>
    </xf>
    <xf numFmtId="0" fontId="4" fillId="2" borderId="28" xfId="0" applyFont="1" applyFill="1" applyBorder="1">
      <alignment vertical="center"/>
    </xf>
    <xf numFmtId="165" fontId="0" fillId="0" borderId="42" xfId="0" applyNumberFormat="1" applyBorder="1">
      <alignment vertical="center"/>
    </xf>
    <xf numFmtId="164" fontId="0" fillId="0" borderId="43" xfId="0" applyNumberFormat="1" applyBorder="1">
      <alignment vertical="center"/>
    </xf>
    <xf numFmtId="165" fontId="0" fillId="0" borderId="18" xfId="0" applyNumberFormat="1" applyBorder="1">
      <alignment vertical="center"/>
    </xf>
    <xf numFmtId="164" fontId="0" fillId="0" borderId="19" xfId="0" applyNumberFormat="1" applyBorder="1">
      <alignment vertical="center"/>
    </xf>
    <xf numFmtId="165" fontId="0" fillId="0" borderId="34" xfId="0" applyNumberFormat="1" applyBorder="1">
      <alignment vertical="center"/>
    </xf>
    <xf numFmtId="164" fontId="0" fillId="0" borderId="32" xfId="0" applyNumberFormat="1" applyBorder="1">
      <alignment vertical="center"/>
    </xf>
    <xf numFmtId="164" fontId="8" fillId="0" borderId="6" xfId="1" applyBorder="1">
      <alignment vertical="center"/>
    </xf>
    <xf numFmtId="164" fontId="8" fillId="0" borderId="16" xfId="1" applyBorder="1">
      <alignment vertical="center"/>
    </xf>
    <xf numFmtId="164" fontId="8" fillId="0" borderId="17" xfId="1" applyBorder="1">
      <alignment vertical="center"/>
    </xf>
    <xf numFmtId="164" fontId="8" fillId="0" borderId="9" xfId="1" applyBorder="1">
      <alignment vertical="center"/>
    </xf>
    <xf numFmtId="164" fontId="8" fillId="0" borderId="18" xfId="1" applyBorder="1">
      <alignment vertical="center"/>
    </xf>
    <xf numFmtId="164" fontId="8" fillId="0" borderId="19" xfId="1" applyBorder="1">
      <alignment vertical="center"/>
    </xf>
    <xf numFmtId="164" fontId="8" fillId="0" borderId="28" xfId="1" applyBorder="1">
      <alignment vertical="center"/>
    </xf>
    <xf numFmtId="164" fontId="8" fillId="0" borderId="34" xfId="1" applyBorder="1">
      <alignment vertical="center"/>
    </xf>
    <xf numFmtId="164" fontId="8" fillId="0" borderId="32" xfId="1" applyBorder="1">
      <alignment vertical="center"/>
    </xf>
    <xf numFmtId="167" fontId="7" fillId="0" borderId="38" xfId="0" applyNumberFormat="1" applyFont="1" applyBorder="1" applyAlignment="1">
      <alignment horizontal="center" vertical="center"/>
    </xf>
    <xf numFmtId="167" fontId="7" fillId="0" borderId="9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9" fillId="2" borderId="44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46" xfId="0" applyFont="1" applyFill="1" applyBorder="1" applyAlignment="1">
      <alignment horizontal="center" vertical="center" wrapText="1"/>
    </xf>
    <xf numFmtId="0" fontId="9" fillId="2" borderId="47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48" xfId="0" applyFont="1" applyFill="1" applyBorder="1" applyAlignment="1">
      <alignment horizontal="center" vertical="center" wrapText="1"/>
    </xf>
    <xf numFmtId="0" fontId="9" fillId="2" borderId="49" xfId="0" applyFont="1" applyFill="1" applyBorder="1" applyAlignment="1">
      <alignment horizontal="center" vertical="center" wrapText="1"/>
    </xf>
    <xf numFmtId="0" fontId="9" fillId="2" borderId="50" xfId="0" applyFont="1" applyFill="1" applyBorder="1" applyAlignment="1">
      <alignment horizontal="center" vertical="center" wrapText="1"/>
    </xf>
    <xf numFmtId="0" fontId="9" fillId="2" borderId="51" xfId="0" applyFont="1" applyFill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232410</xdr:colOff>
      <xdr:row>2</xdr:row>
      <xdr:rowOff>450850</xdr:rowOff>
    </xdr:from>
    <xdr:ext cx="309880" cy="281305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6549370" y="1860550"/>
          <a:ext cx="309880" cy="28130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L53"/>
  <sheetViews>
    <sheetView tabSelected="1" zoomScale="81" zoomScaleNormal="81" workbookViewId="0">
      <selection activeCell="U2" sqref="U2"/>
    </sheetView>
  </sheetViews>
  <sheetFormatPr baseColWidth="10" defaultColWidth="9" defaultRowHeight="13.5" customHeight="1" x14ac:dyDescent="0.2"/>
  <cols>
    <col min="3" max="3" width="15" customWidth="1"/>
    <col min="4" max="4" width="15.1640625" customWidth="1"/>
    <col min="5" max="5" width="11" customWidth="1"/>
    <col min="6" max="6" width="13.6640625" customWidth="1"/>
    <col min="7" max="7" width="22.6640625" customWidth="1"/>
    <col min="10" max="10" width="17" customWidth="1"/>
    <col min="11" max="11" width="15.33203125" customWidth="1"/>
    <col min="12" max="12" width="17.6640625" customWidth="1"/>
    <col min="13" max="13" width="16.33203125"/>
    <col min="14" max="14" width="20.83203125" customWidth="1"/>
    <col min="15" max="15" width="16" customWidth="1"/>
    <col min="18" max="18" width="12.83203125" customWidth="1"/>
    <col min="19" max="19" width="19.1640625" customWidth="1"/>
    <col min="20" max="20" width="20.6640625" customWidth="1"/>
    <col min="21" max="21" width="23.5" customWidth="1"/>
    <col min="22" max="23" width="20" customWidth="1"/>
    <col min="27" max="27" width="22.6640625" customWidth="1"/>
    <col min="28" max="31" width="12.6640625"/>
    <col min="32" max="32" width="24.5" customWidth="1"/>
    <col min="36" max="36" width="18.6640625" customWidth="1"/>
    <col min="37" max="37" width="13.83203125"/>
    <col min="38" max="38" width="38.1640625" customWidth="1"/>
  </cols>
  <sheetData>
    <row r="1" spans="2:38" ht="59" customHeight="1" x14ac:dyDescent="0.2">
      <c r="B1" s="104" t="s">
        <v>0</v>
      </c>
      <c r="C1" s="105"/>
      <c r="D1" s="105"/>
      <c r="E1" s="105"/>
      <c r="F1" s="105"/>
      <c r="G1" s="106"/>
      <c r="H1" s="2"/>
      <c r="J1" s="98" t="s">
        <v>1</v>
      </c>
      <c r="K1" s="99"/>
      <c r="L1" s="99"/>
      <c r="M1" s="99"/>
      <c r="N1" s="99"/>
      <c r="O1" s="100"/>
    </row>
    <row r="2" spans="2:38" ht="52" customHeight="1" x14ac:dyDescent="0.2">
      <c r="B2" s="107"/>
      <c r="C2" s="108"/>
      <c r="D2" s="108"/>
      <c r="E2" s="108"/>
      <c r="F2" s="108"/>
      <c r="G2" s="109"/>
      <c r="H2" s="2"/>
      <c r="J2" s="28" t="s">
        <v>2</v>
      </c>
      <c r="K2" s="29" t="s">
        <v>3</v>
      </c>
      <c r="L2" s="29" t="s">
        <v>4</v>
      </c>
      <c r="M2" s="45" t="s">
        <v>5</v>
      </c>
      <c r="O2" s="46" t="s">
        <v>6</v>
      </c>
    </row>
    <row r="3" spans="2:38" ht="84" customHeight="1" x14ac:dyDescent="0.2">
      <c r="B3" s="110"/>
      <c r="C3" s="111"/>
      <c r="D3" s="111"/>
      <c r="E3" s="111"/>
      <c r="F3" s="111"/>
      <c r="G3" s="112"/>
      <c r="H3" s="2"/>
      <c r="J3" s="30" cm="1">
        <f t="array" ref="J3">CORREL($D9:$D50,D9:D50)</f>
        <v>1</v>
      </c>
      <c r="K3" s="31" cm="1">
        <f t="array" ref="K3">CORREL($D9:$D50,E9:E50)</f>
        <v>0.65669798228476917</v>
      </c>
      <c r="L3" s="31" cm="1">
        <f t="array" ref="L3">CORREL($D9:$D50,F9:F50)</f>
        <v>1.2976787934281957E-2</v>
      </c>
      <c r="M3" s="47" cm="1">
        <f t="array" ref="M3">CORREL($D9:$D50,G9:G50)</f>
        <v>0.19117257503678106</v>
      </c>
      <c r="N3" s="48" t="s">
        <v>2</v>
      </c>
      <c r="O3" s="49" cm="1">
        <f t="array" ref="O3">(1/(SUM(ABS(J3:M3))-1))</f>
        <v>1.161646144942009</v>
      </c>
    </row>
    <row r="4" spans="2:38" ht="95" customHeight="1" x14ac:dyDescent="0.2">
      <c r="B4" s="113" t="s">
        <v>7</v>
      </c>
      <c r="C4" s="113"/>
      <c r="D4" s="113"/>
      <c r="E4" s="113"/>
      <c r="F4" s="113"/>
      <c r="G4" s="113"/>
      <c r="H4" s="2"/>
      <c r="J4" s="32" cm="1">
        <f t="array" ref="J4">CORREL($E9:$E50,D9:D50)</f>
        <v>0.65669798228476917</v>
      </c>
      <c r="K4" s="33" cm="1">
        <f t="array" ref="K4">CORREL($E9:$E50,E9:E50)</f>
        <v>1</v>
      </c>
      <c r="L4" s="33" cm="1">
        <f t="array" ref="L4">CORREL($E9:$E50,F9:F50)</f>
        <v>-0.13265903434737855</v>
      </c>
      <c r="M4" s="50" cm="1">
        <f t="array" ref="M4">CORREL($E9:$E50,G9:G50)</f>
        <v>0.14287081515417541</v>
      </c>
      <c r="N4" s="51" t="s">
        <v>3</v>
      </c>
      <c r="O4" s="52" cm="1">
        <f t="array" ref="O4">(1/(SUM(ABS(J4:M4))-1))</f>
        <v>1.0726991470355618</v>
      </c>
    </row>
    <row r="5" spans="2:38" ht="83" customHeight="1" x14ac:dyDescent="0.2">
      <c r="B5" s="114"/>
      <c r="C5" s="114"/>
      <c r="D5" s="114"/>
      <c r="E5" s="114"/>
      <c r="F5" s="114"/>
      <c r="G5" s="114"/>
      <c r="H5" s="2"/>
      <c r="J5" s="34" cm="1">
        <f t="array" ref="J5">CORREL($F9:$F50,D9:D50)</f>
        <v>1.2976787934281957E-2</v>
      </c>
      <c r="K5" s="35" cm="1">
        <f t="array" ref="K5">CORREL($F9:$F50,E9:E50)</f>
        <v>-0.13265903434737855</v>
      </c>
      <c r="L5" s="35" cm="1">
        <f t="array" ref="L5">CORREL($F9:$F50,F9:F50)</f>
        <v>1</v>
      </c>
      <c r="M5" s="50" cm="1">
        <f t="array" ref="M5">CORREL($F9:$F50,G9:G50)</f>
        <v>-0.19560747820075386</v>
      </c>
      <c r="N5" s="51" t="s">
        <v>4</v>
      </c>
      <c r="O5" s="52" cm="1">
        <f t="array" ref="O5">(1/(SUM(ABS(J5:M5))-1))</f>
        <v>2.9304604620407302</v>
      </c>
    </row>
    <row r="6" spans="2:38" ht="93" customHeight="1" x14ac:dyDescent="0.3">
      <c r="B6" s="2"/>
      <c r="C6" s="2"/>
      <c r="D6" s="2"/>
      <c r="E6" s="2"/>
      <c r="F6" s="2"/>
      <c r="G6" s="2"/>
      <c r="H6" s="2"/>
      <c r="J6" s="36" cm="1">
        <f t="array" ref="J6">CORREL($G9:$G50,D9:D50)</f>
        <v>0.19117257503678106</v>
      </c>
      <c r="K6" s="37" cm="1">
        <f t="array" ref="K6">CORREL($G9:$G50,E9:E50)</f>
        <v>0.14287081515417541</v>
      </c>
      <c r="L6" s="37" cm="1">
        <f t="array" ref="L6">CORREL($G9:$G50,F9:F50)</f>
        <v>-0.19560747820075386</v>
      </c>
      <c r="M6" s="53" cm="1">
        <f t="array" ref="M6">CORREL($G9:$G50,G9:G50)</f>
        <v>1</v>
      </c>
      <c r="N6" s="54" t="s">
        <v>5</v>
      </c>
      <c r="O6" s="55" cm="1">
        <f t="array" ref="O6">(1/(SUM(ABS(J6:M6))-1))</f>
        <v>1.8880361756726827</v>
      </c>
      <c r="S6" s="101" t="s">
        <v>8</v>
      </c>
      <c r="T6" s="101"/>
      <c r="U6" s="101"/>
      <c r="V6" s="101"/>
      <c r="W6" s="101"/>
    </row>
    <row r="7" spans="2:38" ht="52" customHeight="1" x14ac:dyDescent="0.3">
      <c r="B7" s="101" t="s">
        <v>9</v>
      </c>
      <c r="C7" s="102"/>
      <c r="D7" s="102"/>
      <c r="E7" s="102"/>
      <c r="F7" s="102"/>
      <c r="G7" s="102"/>
      <c r="J7" s="101" t="s">
        <v>10</v>
      </c>
      <c r="K7" s="102"/>
      <c r="L7" s="102"/>
      <c r="M7" s="102"/>
      <c r="N7" s="102"/>
      <c r="O7" s="102"/>
      <c r="S7" s="58" t="s">
        <v>11</v>
      </c>
      <c r="T7" s="59">
        <f>O3/SUM(($O$3:$O$6))</f>
        <v>0.16470610805152494</v>
      </c>
      <c r="U7" s="60">
        <f>O4/SUM(($O$3:$O$6))</f>
        <v>0.15209459643774567</v>
      </c>
      <c r="V7" s="60">
        <f>O5/SUM(($O$3:$O$6))</f>
        <v>0.41550065792685736</v>
      </c>
      <c r="W7" s="61">
        <f>O6/SUM(($O$3:$O$6))</f>
        <v>0.26769863758387191</v>
      </c>
      <c r="Z7" s="103" t="s">
        <v>12</v>
      </c>
      <c r="AA7" s="103"/>
      <c r="AB7" s="103"/>
      <c r="AC7" s="103"/>
      <c r="AD7" s="103"/>
      <c r="AE7" s="103"/>
      <c r="AF7" s="103"/>
    </row>
    <row r="8" spans="2:38" s="1" customFormat="1" ht="53" customHeight="1" x14ac:dyDescent="0.2">
      <c r="B8" s="3" t="s">
        <v>13</v>
      </c>
      <c r="C8" s="4" t="s">
        <v>14</v>
      </c>
      <c r="D8" s="5" t="s">
        <v>2</v>
      </c>
      <c r="E8" s="17" t="s">
        <v>3</v>
      </c>
      <c r="F8" s="17" t="s">
        <v>4</v>
      </c>
      <c r="G8" s="18" t="s">
        <v>5</v>
      </c>
      <c r="H8" s="19"/>
      <c r="J8" s="3" t="s">
        <v>13</v>
      </c>
      <c r="K8" s="38" t="s">
        <v>14</v>
      </c>
      <c r="L8" s="5" t="s">
        <v>2</v>
      </c>
      <c r="M8" s="17" t="s">
        <v>3</v>
      </c>
      <c r="N8" s="17" t="s">
        <v>15</v>
      </c>
      <c r="O8" s="18" t="s">
        <v>5</v>
      </c>
      <c r="R8" s="3" t="s">
        <v>13</v>
      </c>
      <c r="S8" s="38" t="s">
        <v>14</v>
      </c>
      <c r="T8" s="58" t="s">
        <v>2</v>
      </c>
      <c r="U8" s="62" t="s">
        <v>3</v>
      </c>
      <c r="V8" s="62" t="s">
        <v>15</v>
      </c>
      <c r="W8" s="63" t="s">
        <v>5</v>
      </c>
      <c r="Z8" s="3" t="s">
        <v>13</v>
      </c>
      <c r="AA8" s="38" t="s">
        <v>14</v>
      </c>
      <c r="AB8" s="5" t="s">
        <v>16</v>
      </c>
      <c r="AC8" s="67" t="s">
        <v>17</v>
      </c>
      <c r="AD8" s="5" t="s">
        <v>18</v>
      </c>
      <c r="AE8" s="18" t="s">
        <v>19</v>
      </c>
      <c r="AF8" s="63" t="s">
        <v>20</v>
      </c>
      <c r="AI8" s="38" t="s">
        <v>13</v>
      </c>
      <c r="AJ8" s="5" t="s">
        <v>14</v>
      </c>
      <c r="AK8" s="17" t="s">
        <v>19</v>
      </c>
      <c r="AL8" s="18" t="s">
        <v>20</v>
      </c>
    </row>
    <row r="9" spans="2:38" ht="20.75" customHeight="1" x14ac:dyDescent="0.2">
      <c r="B9" s="6">
        <v>1</v>
      </c>
      <c r="C9" s="7" t="s">
        <v>21</v>
      </c>
      <c r="D9" s="8">
        <v>1252.3966912430899</v>
      </c>
      <c r="E9" s="20">
        <v>559.32422717981694</v>
      </c>
      <c r="F9" s="20">
        <v>439.8</v>
      </c>
      <c r="G9" s="21">
        <v>51</v>
      </c>
      <c r="J9" s="6">
        <v>1</v>
      </c>
      <c r="K9" s="39" t="s">
        <v>21</v>
      </c>
      <c r="L9" s="8">
        <f>D9</f>
        <v>1252.3966912430899</v>
      </c>
      <c r="M9" s="20">
        <f>E9</f>
        <v>559.32422717981694</v>
      </c>
      <c r="N9" s="20">
        <f>F$51-F9</f>
        <v>7.1999999999999886</v>
      </c>
      <c r="O9" s="21">
        <f>G9</f>
        <v>51</v>
      </c>
      <c r="R9" s="6">
        <v>1</v>
      </c>
      <c r="S9" s="39" t="s">
        <v>21</v>
      </c>
      <c r="T9" s="86">
        <f>(L9-L$51)/L$52</f>
        <v>-0.60900888838425604</v>
      </c>
      <c r="U9" s="87">
        <f>(M9-M$51)/M$52</f>
        <v>-0.87490466338545481</v>
      </c>
      <c r="V9" s="87">
        <f>(N9-N$51)/N$52</f>
        <v>-1.1817299044036838</v>
      </c>
      <c r="W9" s="88">
        <f>(O9-O$51)/O$52</f>
        <v>-0.59433066999016537</v>
      </c>
      <c r="Z9" s="6">
        <v>1</v>
      </c>
      <c r="AA9" s="39" t="s">
        <v>21</v>
      </c>
      <c r="AB9" s="64">
        <f>((T9*T$7-T$51)^2+(U9*U$7-U$51)^2+(V9*V$7-V$51)^2+(W9*W$7-W$51)^2)^(1/2)</f>
        <v>7.0063193803016075</v>
      </c>
      <c r="AC9" s="68">
        <f>((T9-T$51)^2+(U9-U$51)^2+(V9-V$51)^2+(W9-W$51)^2)^(1/2)</f>
        <v>8.1473733080963893</v>
      </c>
      <c r="AD9" s="95">
        <f>1-(AB9/(AB$51+2*AB$52))</f>
        <v>2.4192742909784459E-2</v>
      </c>
      <c r="AE9" s="69">
        <f>1-(AC9/(AC$51+2*AC$52))</f>
        <v>9.9278412866164456E-2</v>
      </c>
      <c r="AF9" s="70" t="str">
        <f>IF(AE9&gt;(AE$51+AE$52),"Bardzo wysokie obciążenie",IF(AE9&gt;AE$51,"Wysokie obciążenie",IF(AE9&gt;(AE$51-AE$52),"Pomierne obciążenie ","Słabe obciążenie")))</f>
        <v>Słabe obciążenie</v>
      </c>
      <c r="AI9" s="6">
        <v>1</v>
      </c>
      <c r="AJ9" s="77" t="s">
        <v>21</v>
      </c>
      <c r="AK9" s="80">
        <v>9.9278412866164595E-2</v>
      </c>
      <c r="AL9" s="81" t="str">
        <f>IF(AK9&gt;(AE$51+AE$52),"Bardzo wysokie obciążenie",IF(AK9&gt;AE$51,"Wysokie obciążenie",IF(AK9&gt;(AE$51-AE$52),"Pomierne obciążenie ","Słabe obciążenie")))</f>
        <v>Słabe obciążenie</v>
      </c>
    </row>
    <row r="10" spans="2:38" ht="20.75" customHeight="1" x14ac:dyDescent="0.2">
      <c r="B10" s="9">
        <f>B9+1</f>
        <v>2</v>
      </c>
      <c r="C10" s="10" t="s">
        <v>22</v>
      </c>
      <c r="D10" s="11">
        <v>2540.43177449416</v>
      </c>
      <c r="E10" s="22">
        <v>890.49123539700395</v>
      </c>
      <c r="F10" s="22">
        <v>427.2</v>
      </c>
      <c r="G10" s="23">
        <v>70</v>
      </c>
      <c r="J10" s="9">
        <f t="shared" ref="J10:J50" si="0">J9+1</f>
        <v>2</v>
      </c>
      <c r="K10" s="40" t="s">
        <v>22</v>
      </c>
      <c r="L10" s="11">
        <f t="shared" ref="L10:L50" si="1">D10</f>
        <v>2540.43177449416</v>
      </c>
      <c r="M10" s="22">
        <f t="shared" ref="M10:M50" si="2">E10</f>
        <v>890.49123539700395</v>
      </c>
      <c r="N10" s="22">
        <f t="shared" ref="N10:N50" si="3">F$51-F10</f>
        <v>19.800000000000011</v>
      </c>
      <c r="O10" s="23">
        <f t="shared" ref="O10:O50" si="4">G10</f>
        <v>70</v>
      </c>
      <c r="R10" s="9">
        <f t="shared" ref="R10:R50" si="5">R9+1</f>
        <v>2</v>
      </c>
      <c r="S10" s="40" t="s">
        <v>22</v>
      </c>
      <c r="T10" s="89">
        <f t="shared" ref="T10:T50" si="6">(L10-L$51)/L$52</f>
        <v>0.16930938152314962</v>
      </c>
      <c r="U10" s="90">
        <f t="shared" ref="U10:U50" si="7">(M10-M$51)/M$52</f>
        <v>-0.42632699211711222</v>
      </c>
      <c r="V10" s="90">
        <f t="shared" ref="V10:V50" si="8">(N10-N$51)/N$52</f>
        <v>-0.6397196206366268</v>
      </c>
      <c r="W10" s="91">
        <f t="shared" ref="W10:W50" si="9">(O10-O$51)/O$52</f>
        <v>0.1921964853202025</v>
      </c>
      <c r="Z10" s="9">
        <f t="shared" ref="Z10:Z50" si="10">Z9+1</f>
        <v>2</v>
      </c>
      <c r="AA10" s="40" t="s">
        <v>22</v>
      </c>
      <c r="AB10" s="65">
        <f t="shared" ref="AB10:AB50" si="11">((T10*T$7-T$51)^2+(U10*U$7-U$51)^2+(V10*V$7-V$51)^2+(W10*W$7-W$51)^2)^(1/2)</f>
        <v>6.7243612062245797</v>
      </c>
      <c r="AC10" s="71">
        <f t="shared" ref="AC10:AC50" si="12">((T10-T$51)^2+(U10-U$51)^2+(V10-V$51)^2+(W10-W$51)^2)^(1/2)</f>
        <v>6.9224948721058963</v>
      </c>
      <c r="AD10" s="96">
        <f t="shared" ref="AD10:AD50" si="13">1-(AB10/(AB$51+2*AB$52))</f>
        <v>6.3462553137651367E-2</v>
      </c>
      <c r="AE10" s="72">
        <f t="shared" ref="AE10:AE50" si="14">1-(AC10/(AC$51+2*AC$52))</f>
        <v>0.23469315418101211</v>
      </c>
      <c r="AF10" s="73" t="str">
        <f t="shared" ref="AF10:AF50" si="15">IF(AE10&gt;(AE$51+AE$52),"Bardzo wysokie obciążenie",IF(AE10&gt;AE$51,"Wysokie obciążenie",IF(AE10&gt;(AE$51-AE$52),"Pomierne obciążenie ","Słabe obciążenie")))</f>
        <v xml:space="preserve">Pomierne obciążenie </v>
      </c>
      <c r="AI10" s="9">
        <f t="shared" ref="AI10:AI50" si="16">AI9+1</f>
        <v>2</v>
      </c>
      <c r="AJ10" s="78" t="s">
        <v>23</v>
      </c>
      <c r="AK10" s="82">
        <v>9.1769165322530002E-2</v>
      </c>
      <c r="AL10" s="83" t="str">
        <f t="shared" ref="AL10:AL50" si="17">IF(AK10&gt;(AE$51+AE$52),"Bardzo wysokie obciążenie",IF(AK10&gt;AE$51,"Wysokie obciążenie",IF(AK10&gt;(AE$51-AE$52),"Pomierne obciążenie ","Słabe obciążenie")))</f>
        <v>Słabe obciążenie</v>
      </c>
    </row>
    <row r="11" spans="2:38" ht="20.75" customHeight="1" x14ac:dyDescent="0.2">
      <c r="B11" s="9">
        <f t="shared" ref="B11:B50" si="18">B10+1</f>
        <v>3</v>
      </c>
      <c r="C11" s="10" t="s">
        <v>24</v>
      </c>
      <c r="D11" s="11">
        <v>1391.63676463346</v>
      </c>
      <c r="E11" s="22">
        <v>859.72836227586095</v>
      </c>
      <c r="F11" s="22">
        <v>438</v>
      </c>
      <c r="G11" s="23">
        <v>94</v>
      </c>
      <c r="J11" s="9">
        <f t="shared" si="0"/>
        <v>3</v>
      </c>
      <c r="K11" s="40" t="s">
        <v>24</v>
      </c>
      <c r="L11" s="11">
        <f t="shared" si="1"/>
        <v>1391.63676463346</v>
      </c>
      <c r="M11" s="22">
        <f t="shared" si="2"/>
        <v>859.72836227586095</v>
      </c>
      <c r="N11" s="22">
        <f t="shared" si="3"/>
        <v>9</v>
      </c>
      <c r="O11" s="23">
        <f t="shared" si="4"/>
        <v>94</v>
      </c>
      <c r="R11" s="9">
        <f t="shared" si="5"/>
        <v>3</v>
      </c>
      <c r="S11" s="40" t="s">
        <v>24</v>
      </c>
      <c r="T11" s="89">
        <f t="shared" si="6"/>
        <v>-0.52487058001657294</v>
      </c>
      <c r="U11" s="90">
        <f t="shared" si="7"/>
        <v>-0.46799641462539465</v>
      </c>
      <c r="V11" s="90">
        <f t="shared" si="8"/>
        <v>-1.1042998638655326</v>
      </c>
      <c r="W11" s="91">
        <f t="shared" si="9"/>
        <v>1.1857044709754041</v>
      </c>
      <c r="Z11" s="9">
        <f t="shared" si="10"/>
        <v>3</v>
      </c>
      <c r="AA11" s="40" t="s">
        <v>24</v>
      </c>
      <c r="AB11" s="65">
        <f t="shared" si="11"/>
        <v>6.8269725698836474</v>
      </c>
      <c r="AC11" s="71">
        <f t="shared" si="12"/>
        <v>7.489617383782373</v>
      </c>
      <c r="AD11" s="96">
        <f t="shared" si="13"/>
        <v>4.9171324336412914E-2</v>
      </c>
      <c r="AE11" s="72">
        <f t="shared" si="14"/>
        <v>0.17199570931139496</v>
      </c>
      <c r="AF11" s="73" t="str">
        <f t="shared" si="15"/>
        <v xml:space="preserve">Pomierne obciążenie </v>
      </c>
      <c r="AI11" s="9">
        <f t="shared" si="16"/>
        <v>3</v>
      </c>
      <c r="AJ11" s="78" t="s">
        <v>25</v>
      </c>
      <c r="AK11" s="82">
        <v>0.103556620323259</v>
      </c>
      <c r="AL11" s="83" t="str">
        <f t="shared" si="17"/>
        <v>Słabe obciążenie</v>
      </c>
    </row>
    <row r="12" spans="2:38" ht="20.75" customHeight="1" x14ac:dyDescent="0.2">
      <c r="B12" s="9">
        <f t="shared" si="18"/>
        <v>4</v>
      </c>
      <c r="C12" s="10" t="s">
        <v>26</v>
      </c>
      <c r="D12" s="11">
        <v>1594.9571298851999</v>
      </c>
      <c r="E12" s="22">
        <v>1084.81168420362</v>
      </c>
      <c r="F12" s="22">
        <v>400.2</v>
      </c>
      <c r="G12" s="23">
        <v>76</v>
      </c>
      <c r="J12" s="9">
        <f t="shared" si="0"/>
        <v>4</v>
      </c>
      <c r="K12" s="40" t="s">
        <v>26</v>
      </c>
      <c r="L12" s="11">
        <f t="shared" si="1"/>
        <v>1594.9571298851999</v>
      </c>
      <c r="M12" s="22">
        <f t="shared" si="2"/>
        <v>1084.81168420362</v>
      </c>
      <c r="N12" s="22">
        <f t="shared" si="3"/>
        <v>46.800000000000011</v>
      </c>
      <c r="O12" s="23">
        <f t="shared" si="4"/>
        <v>76</v>
      </c>
      <c r="R12" s="9">
        <f t="shared" si="5"/>
        <v>4</v>
      </c>
      <c r="S12" s="40" t="s">
        <v>26</v>
      </c>
      <c r="T12" s="89">
        <f t="shared" si="6"/>
        <v>-0.40201060750693468</v>
      </c>
      <c r="U12" s="90">
        <f t="shared" si="7"/>
        <v>-0.16311292718125869</v>
      </c>
      <c r="V12" s="90">
        <f t="shared" si="8"/>
        <v>0.52173098743563606</v>
      </c>
      <c r="W12" s="91">
        <f t="shared" si="9"/>
        <v>0.4405734817340029</v>
      </c>
      <c r="Z12" s="9">
        <f t="shared" si="10"/>
        <v>4</v>
      </c>
      <c r="AA12" s="40" t="s">
        <v>26</v>
      </c>
      <c r="AB12" s="65">
        <f t="shared" si="11"/>
        <v>6.5688179698875571</v>
      </c>
      <c r="AC12" s="71">
        <f t="shared" si="12"/>
        <v>6.7133795578993354</v>
      </c>
      <c r="AD12" s="96">
        <f t="shared" si="13"/>
        <v>8.5125884563235221E-2</v>
      </c>
      <c r="AE12" s="72">
        <f t="shared" si="14"/>
        <v>0.25781160850775175</v>
      </c>
      <c r="AF12" s="73" t="str">
        <f t="shared" si="15"/>
        <v>Wysokie obciążenie</v>
      </c>
      <c r="AI12" s="9">
        <f t="shared" si="16"/>
        <v>4</v>
      </c>
      <c r="AJ12" s="78" t="s">
        <v>27</v>
      </c>
      <c r="AK12" s="82">
        <v>0.10764535692763701</v>
      </c>
      <c r="AL12" s="83" t="str">
        <f t="shared" si="17"/>
        <v>Słabe obciążenie</v>
      </c>
    </row>
    <row r="13" spans="2:38" ht="20.75" customHeight="1" x14ac:dyDescent="0.2">
      <c r="B13" s="9">
        <f t="shared" si="18"/>
        <v>5</v>
      </c>
      <c r="C13" s="10" t="s">
        <v>28</v>
      </c>
      <c r="D13" s="11">
        <v>1871.2260312881799</v>
      </c>
      <c r="E13" s="22">
        <v>751.15206352378095</v>
      </c>
      <c r="F13" s="22">
        <v>430.8</v>
      </c>
      <c r="G13" s="23">
        <v>48</v>
      </c>
      <c r="J13" s="9">
        <f t="shared" si="0"/>
        <v>5</v>
      </c>
      <c r="K13" s="40" t="s">
        <v>28</v>
      </c>
      <c r="L13" s="11">
        <f t="shared" si="1"/>
        <v>1871.2260312881799</v>
      </c>
      <c r="M13" s="22">
        <f t="shared" si="2"/>
        <v>751.15206352378095</v>
      </c>
      <c r="N13" s="22">
        <f t="shared" si="3"/>
        <v>16.199999999999989</v>
      </c>
      <c r="O13" s="23">
        <f t="shared" si="4"/>
        <v>48</v>
      </c>
      <c r="R13" s="9">
        <f t="shared" si="5"/>
        <v>5</v>
      </c>
      <c r="S13" s="40" t="s">
        <v>28</v>
      </c>
      <c r="T13" s="89">
        <f t="shared" si="6"/>
        <v>-0.23507017539816635</v>
      </c>
      <c r="U13" s="90">
        <f t="shared" si="7"/>
        <v>-0.61506693203998597</v>
      </c>
      <c r="V13" s="90">
        <f t="shared" si="8"/>
        <v>-0.79457970171292958</v>
      </c>
      <c r="W13" s="91">
        <f t="shared" si="9"/>
        <v>-0.71851916819706563</v>
      </c>
      <c r="Z13" s="9">
        <f t="shared" si="10"/>
        <v>5</v>
      </c>
      <c r="AA13" s="40" t="s">
        <v>28</v>
      </c>
      <c r="AB13" s="65">
        <f t="shared" si="11"/>
        <v>6.8848363153078243</v>
      </c>
      <c r="AC13" s="71">
        <f t="shared" si="12"/>
        <v>7.6353360530826118</v>
      </c>
      <c r="AD13" s="96">
        <f t="shared" si="13"/>
        <v>4.1112333639231502E-2</v>
      </c>
      <c r="AE13" s="72">
        <f t="shared" si="14"/>
        <v>0.15588598337595627</v>
      </c>
      <c r="AF13" s="73" t="str">
        <f t="shared" si="15"/>
        <v xml:space="preserve">Pomierne obciążenie </v>
      </c>
      <c r="AI13" s="9">
        <f t="shared" si="16"/>
        <v>5</v>
      </c>
      <c r="AJ13" s="78" t="s">
        <v>29</v>
      </c>
      <c r="AK13" s="82">
        <v>0.114198841443987</v>
      </c>
      <c r="AL13" s="83" t="str">
        <f t="shared" si="17"/>
        <v>Słabe obciążenie</v>
      </c>
    </row>
    <row r="14" spans="2:38" ht="20.75" customHeight="1" x14ac:dyDescent="0.2">
      <c r="B14" s="9">
        <f t="shared" si="18"/>
        <v>6</v>
      </c>
      <c r="C14" s="10" t="s">
        <v>30</v>
      </c>
      <c r="D14" s="11">
        <v>1142.94913682828</v>
      </c>
      <c r="E14" s="22">
        <v>896.55339668160696</v>
      </c>
      <c r="F14" s="22">
        <v>399</v>
      </c>
      <c r="G14" s="23">
        <v>86</v>
      </c>
      <c r="J14" s="9">
        <f t="shared" si="0"/>
        <v>6</v>
      </c>
      <c r="K14" s="40" t="s">
        <v>30</v>
      </c>
      <c r="L14" s="11">
        <f t="shared" si="1"/>
        <v>1142.94913682828</v>
      </c>
      <c r="M14" s="22">
        <f t="shared" si="2"/>
        <v>896.55339668160696</v>
      </c>
      <c r="N14" s="22">
        <f t="shared" si="3"/>
        <v>48</v>
      </c>
      <c r="O14" s="23">
        <f t="shared" si="4"/>
        <v>86</v>
      </c>
      <c r="R14" s="9">
        <f t="shared" si="5"/>
        <v>6</v>
      </c>
      <c r="S14" s="40" t="s">
        <v>30</v>
      </c>
      <c r="T14" s="89">
        <f t="shared" si="6"/>
        <v>-0.67514453352733705</v>
      </c>
      <c r="U14" s="90">
        <f t="shared" si="7"/>
        <v>-0.41811557574885816</v>
      </c>
      <c r="V14" s="90">
        <f t="shared" si="8"/>
        <v>0.57335101446106951</v>
      </c>
      <c r="W14" s="91">
        <f t="shared" si="9"/>
        <v>0.85453514242367024</v>
      </c>
      <c r="Z14" s="9">
        <f t="shared" si="10"/>
        <v>6</v>
      </c>
      <c r="AA14" s="40" t="s">
        <v>30</v>
      </c>
      <c r="AB14" s="65">
        <f t="shared" si="11"/>
        <v>6.5838141570926023</v>
      </c>
      <c r="AC14" s="71">
        <f t="shared" si="12"/>
        <v>6.9614708288136926</v>
      </c>
      <c r="AD14" s="96">
        <f t="shared" si="13"/>
        <v>8.3037286041091285E-2</v>
      </c>
      <c r="AE14" s="72">
        <f t="shared" si="14"/>
        <v>0.23038422119631385</v>
      </c>
      <c r="AF14" s="73" t="str">
        <f t="shared" si="15"/>
        <v xml:space="preserve">Pomierne obciążenie </v>
      </c>
      <c r="AI14" s="9">
        <f t="shared" si="16"/>
        <v>6</v>
      </c>
      <c r="AJ14" s="78" t="s">
        <v>31</v>
      </c>
      <c r="AK14" s="82">
        <v>0.115055583030974</v>
      </c>
      <c r="AL14" s="83" t="str">
        <f t="shared" si="17"/>
        <v>Słabe obciążenie</v>
      </c>
    </row>
    <row r="15" spans="2:38" ht="20.75" customHeight="1" x14ac:dyDescent="0.2">
      <c r="B15" s="9">
        <f t="shared" si="18"/>
        <v>7</v>
      </c>
      <c r="C15" s="10" t="s">
        <v>32</v>
      </c>
      <c r="D15" s="11">
        <v>2402.1245238977399</v>
      </c>
      <c r="E15" s="22">
        <v>2569.0853148123902</v>
      </c>
      <c r="F15" s="22">
        <v>403.2</v>
      </c>
      <c r="G15" s="23">
        <v>40</v>
      </c>
      <c r="J15" s="9">
        <f t="shared" si="0"/>
        <v>7</v>
      </c>
      <c r="K15" s="40" t="s">
        <v>32</v>
      </c>
      <c r="L15" s="11">
        <f t="shared" si="1"/>
        <v>2402.1245238977399</v>
      </c>
      <c r="M15" s="22">
        <f t="shared" si="2"/>
        <v>2569.0853148123902</v>
      </c>
      <c r="N15" s="22">
        <f t="shared" si="3"/>
        <v>43.800000000000011</v>
      </c>
      <c r="O15" s="23">
        <f t="shared" si="4"/>
        <v>40</v>
      </c>
      <c r="R15" s="9">
        <f t="shared" si="5"/>
        <v>7</v>
      </c>
      <c r="S15" s="40" t="s">
        <v>32</v>
      </c>
      <c r="T15" s="89">
        <f t="shared" si="6"/>
        <v>8.5734748037120098E-2</v>
      </c>
      <c r="U15" s="90">
        <f t="shared" si="7"/>
        <v>1.847389303484289</v>
      </c>
      <c r="V15" s="90">
        <f t="shared" si="8"/>
        <v>0.39268091987205134</v>
      </c>
      <c r="W15" s="91">
        <f t="shared" si="9"/>
        <v>-1.0496884967487994</v>
      </c>
      <c r="Z15" s="9">
        <f t="shared" si="10"/>
        <v>7</v>
      </c>
      <c r="AA15" s="40" t="s">
        <v>32</v>
      </c>
      <c r="AB15" s="65">
        <f t="shared" si="11"/>
        <v>6.5175049952825832</v>
      </c>
      <c r="AC15" s="71">
        <f t="shared" si="12"/>
        <v>6.2262647381518841</v>
      </c>
      <c r="AD15" s="96">
        <f t="shared" si="13"/>
        <v>9.227251466736619E-2</v>
      </c>
      <c r="AE15" s="72">
        <f t="shared" si="14"/>
        <v>0.31166391365784563</v>
      </c>
      <c r="AF15" s="73" t="str">
        <f t="shared" si="15"/>
        <v>Wysokie obciążenie</v>
      </c>
      <c r="AI15" s="9">
        <f t="shared" si="16"/>
        <v>7</v>
      </c>
      <c r="AJ15" s="78" t="s">
        <v>33</v>
      </c>
      <c r="AK15" s="82">
        <v>0.124864914356978</v>
      </c>
      <c r="AL15" s="83" t="str">
        <f t="shared" si="17"/>
        <v xml:space="preserve">Pomierne obciążenie </v>
      </c>
    </row>
    <row r="16" spans="2:38" ht="20.75" customHeight="1" x14ac:dyDescent="0.2">
      <c r="B16" s="9">
        <f t="shared" si="18"/>
        <v>8</v>
      </c>
      <c r="C16" s="10" t="s">
        <v>34</v>
      </c>
      <c r="D16" s="11">
        <v>1535.95851235194</v>
      </c>
      <c r="E16" s="22">
        <v>576.10498273203905</v>
      </c>
      <c r="F16" s="22">
        <v>397.2</v>
      </c>
      <c r="G16" s="23">
        <v>80</v>
      </c>
      <c r="J16" s="9">
        <f t="shared" si="0"/>
        <v>8</v>
      </c>
      <c r="K16" s="40" t="s">
        <v>34</v>
      </c>
      <c r="L16" s="11">
        <f t="shared" si="1"/>
        <v>1535.95851235194</v>
      </c>
      <c r="M16" s="22">
        <f t="shared" si="2"/>
        <v>576.10498273203905</v>
      </c>
      <c r="N16" s="22">
        <f t="shared" si="3"/>
        <v>49.800000000000011</v>
      </c>
      <c r="O16" s="23">
        <f t="shared" si="4"/>
        <v>80</v>
      </c>
      <c r="R16" s="9">
        <f t="shared" si="5"/>
        <v>8</v>
      </c>
      <c r="S16" s="40" t="s">
        <v>34</v>
      </c>
      <c r="T16" s="89">
        <f t="shared" si="6"/>
        <v>-0.43766157891488094</v>
      </c>
      <c r="U16" s="90">
        <f t="shared" si="7"/>
        <v>-0.85217452402687954</v>
      </c>
      <c r="V16" s="90">
        <f t="shared" si="8"/>
        <v>0.6507810549992209</v>
      </c>
      <c r="W16" s="91">
        <f t="shared" si="9"/>
        <v>0.60615814600986984</v>
      </c>
      <c r="Z16" s="9">
        <f t="shared" si="10"/>
        <v>8</v>
      </c>
      <c r="AA16" s="40" t="s">
        <v>34</v>
      </c>
      <c r="AB16" s="65">
        <f t="shared" si="11"/>
        <v>6.5905299115947216</v>
      </c>
      <c r="AC16" s="71">
        <f t="shared" si="12"/>
        <v>7.017821264145077</v>
      </c>
      <c r="AD16" s="96">
        <f t="shared" si="13"/>
        <v>8.210194729555409E-2</v>
      </c>
      <c r="AE16" s="72">
        <f t="shared" si="14"/>
        <v>0.22415447675868894</v>
      </c>
      <c r="AF16" s="73" t="str">
        <f t="shared" si="15"/>
        <v xml:space="preserve">Pomierne obciążenie </v>
      </c>
      <c r="AI16" s="9">
        <f t="shared" si="16"/>
        <v>8</v>
      </c>
      <c r="AJ16" s="78" t="s">
        <v>35</v>
      </c>
      <c r="AK16" s="82">
        <v>0.12765289708618199</v>
      </c>
      <c r="AL16" s="83" t="str">
        <f t="shared" si="17"/>
        <v xml:space="preserve">Pomierne obciążenie </v>
      </c>
    </row>
    <row r="17" spans="2:38" ht="20.75" customHeight="1" x14ac:dyDescent="0.2">
      <c r="B17" s="9">
        <f t="shared" si="18"/>
        <v>9</v>
      </c>
      <c r="C17" s="10" t="s">
        <v>36</v>
      </c>
      <c r="D17" s="11">
        <v>1392.6546567974999</v>
      </c>
      <c r="E17" s="22">
        <v>591.67653647555699</v>
      </c>
      <c r="F17" s="22">
        <v>399</v>
      </c>
      <c r="G17" s="23">
        <v>86</v>
      </c>
      <c r="J17" s="9">
        <f t="shared" si="0"/>
        <v>9</v>
      </c>
      <c r="K17" s="40" t="s">
        <v>36</v>
      </c>
      <c r="L17" s="11">
        <f t="shared" si="1"/>
        <v>1392.6546567974999</v>
      </c>
      <c r="M17" s="22">
        <f t="shared" si="2"/>
        <v>591.67653647555699</v>
      </c>
      <c r="N17" s="22">
        <f t="shared" si="3"/>
        <v>48</v>
      </c>
      <c r="O17" s="23">
        <f t="shared" si="4"/>
        <v>86</v>
      </c>
      <c r="R17" s="9">
        <f t="shared" si="5"/>
        <v>9</v>
      </c>
      <c r="S17" s="40" t="s">
        <v>36</v>
      </c>
      <c r="T17" s="89">
        <f t="shared" si="6"/>
        <v>-0.52425550044430824</v>
      </c>
      <c r="U17" s="90">
        <f t="shared" si="7"/>
        <v>-0.83108229218319241</v>
      </c>
      <c r="V17" s="90">
        <f t="shared" si="8"/>
        <v>0.57335101446106951</v>
      </c>
      <c r="W17" s="91">
        <f t="shared" si="9"/>
        <v>0.85453514242367024</v>
      </c>
      <c r="Z17" s="9">
        <f t="shared" si="10"/>
        <v>9</v>
      </c>
      <c r="AA17" s="40" t="s">
        <v>36</v>
      </c>
      <c r="AB17" s="65">
        <f t="shared" si="11"/>
        <v>6.5938254881294895</v>
      </c>
      <c r="AC17" s="71">
        <f t="shared" si="12"/>
        <v>7.0528356653657625</v>
      </c>
      <c r="AD17" s="96">
        <f t="shared" si="13"/>
        <v>8.1642954873946239E-2</v>
      </c>
      <c r="AE17" s="72">
        <f t="shared" si="14"/>
        <v>0.22028350806148989</v>
      </c>
      <c r="AF17" s="73" t="str">
        <f t="shared" si="15"/>
        <v xml:space="preserve">Pomierne obciążenie </v>
      </c>
      <c r="AI17" s="9">
        <f t="shared" si="16"/>
        <v>9</v>
      </c>
      <c r="AJ17" s="78" t="s">
        <v>37</v>
      </c>
      <c r="AK17" s="82">
        <v>0.14180002241148501</v>
      </c>
      <c r="AL17" s="83" t="str">
        <f t="shared" si="17"/>
        <v xml:space="preserve">Pomierne obciążenie </v>
      </c>
    </row>
    <row r="18" spans="2:38" ht="20.75" customHeight="1" x14ac:dyDescent="0.2">
      <c r="B18" s="9">
        <f t="shared" si="18"/>
        <v>10</v>
      </c>
      <c r="C18" s="10" t="s">
        <v>25</v>
      </c>
      <c r="D18" s="11">
        <v>1480.7779564380501</v>
      </c>
      <c r="E18" s="22">
        <v>1023.60160387956</v>
      </c>
      <c r="F18" s="22">
        <v>433.8</v>
      </c>
      <c r="G18" s="23">
        <v>23</v>
      </c>
      <c r="J18" s="9">
        <f t="shared" si="0"/>
        <v>10</v>
      </c>
      <c r="K18" s="40" t="s">
        <v>25</v>
      </c>
      <c r="L18" s="11">
        <f t="shared" si="1"/>
        <v>1480.7779564380501</v>
      </c>
      <c r="M18" s="22">
        <f t="shared" si="2"/>
        <v>1023.60160387956</v>
      </c>
      <c r="N18" s="22">
        <f t="shared" si="3"/>
        <v>13.199999999999989</v>
      </c>
      <c r="O18" s="23">
        <f t="shared" si="4"/>
        <v>23</v>
      </c>
      <c r="R18" s="9">
        <f t="shared" si="5"/>
        <v>10</v>
      </c>
      <c r="S18" s="40" t="s">
        <v>25</v>
      </c>
      <c r="T18" s="89">
        <f t="shared" si="6"/>
        <v>-0.47100541820148212</v>
      </c>
      <c r="U18" s="90">
        <f t="shared" si="7"/>
        <v>-0.2460241913127019</v>
      </c>
      <c r="V18" s="90">
        <f t="shared" si="8"/>
        <v>-0.9236297692765143</v>
      </c>
      <c r="W18" s="91">
        <f t="shared" si="9"/>
        <v>-1.7534233199212339</v>
      </c>
      <c r="Z18" s="9">
        <f t="shared" si="10"/>
        <v>10</v>
      </c>
      <c r="AA18" s="40" t="s">
        <v>25</v>
      </c>
      <c r="AB18" s="65">
        <f t="shared" si="11"/>
        <v>7.0014848469066804</v>
      </c>
      <c r="AC18" s="71">
        <f t="shared" si="12"/>
        <v>8.1086752756074123</v>
      </c>
      <c r="AD18" s="96">
        <f t="shared" si="13"/>
        <v>2.4866074014940565E-2</v>
      </c>
      <c r="AE18" s="72">
        <f t="shared" si="14"/>
        <v>0.10355662032325863</v>
      </c>
      <c r="AF18" s="73" t="str">
        <f t="shared" si="15"/>
        <v>Słabe obciążenie</v>
      </c>
      <c r="AI18" s="9">
        <f t="shared" si="16"/>
        <v>10</v>
      </c>
      <c r="AJ18" s="78" t="s">
        <v>38</v>
      </c>
      <c r="AK18" s="82">
        <v>0.145923305794838</v>
      </c>
      <c r="AL18" s="83" t="str">
        <f t="shared" si="17"/>
        <v xml:space="preserve">Pomierne obciążenie </v>
      </c>
    </row>
    <row r="19" spans="2:38" ht="20.75" customHeight="1" x14ac:dyDescent="0.2">
      <c r="B19" s="9">
        <f t="shared" si="18"/>
        <v>11</v>
      </c>
      <c r="C19" s="10" t="s">
        <v>39</v>
      </c>
      <c r="D19" s="11">
        <v>3024.6800409593302</v>
      </c>
      <c r="E19" s="22">
        <v>1263.10313780143</v>
      </c>
      <c r="F19" s="22">
        <v>442.8</v>
      </c>
      <c r="G19" s="23">
        <v>59</v>
      </c>
      <c r="J19" s="9">
        <f t="shared" si="0"/>
        <v>11</v>
      </c>
      <c r="K19" s="40" t="s">
        <v>39</v>
      </c>
      <c r="L19" s="11">
        <f t="shared" si="1"/>
        <v>3024.6800409593302</v>
      </c>
      <c r="M19" s="22">
        <f t="shared" si="2"/>
        <v>1263.10313780143</v>
      </c>
      <c r="N19" s="22">
        <f t="shared" si="3"/>
        <v>4.1999999999999886</v>
      </c>
      <c r="O19" s="23">
        <f t="shared" si="4"/>
        <v>59</v>
      </c>
      <c r="R19" s="9">
        <f t="shared" si="5"/>
        <v>11</v>
      </c>
      <c r="S19" s="40" t="s">
        <v>39</v>
      </c>
      <c r="T19" s="89">
        <f t="shared" si="6"/>
        <v>0.46192507022746465</v>
      </c>
      <c r="U19" s="90">
        <f t="shared" si="7"/>
        <v>7.8389284927690955E-2</v>
      </c>
      <c r="V19" s="90">
        <f t="shared" si="8"/>
        <v>-1.3107799719672686</v>
      </c>
      <c r="W19" s="91">
        <f t="shared" si="9"/>
        <v>-0.26316134143843156</v>
      </c>
      <c r="Z19" s="9">
        <f t="shared" si="10"/>
        <v>11</v>
      </c>
      <c r="AA19" s="40" t="s">
        <v>39</v>
      </c>
      <c r="AB19" s="65">
        <f t="shared" si="11"/>
        <v>6.8136726690596436</v>
      </c>
      <c r="AC19" s="71">
        <f t="shared" si="12"/>
        <v>6.9718152560339002</v>
      </c>
      <c r="AD19" s="96">
        <f t="shared" si="13"/>
        <v>5.1023672058261194E-2</v>
      </c>
      <c r="AE19" s="72">
        <f t="shared" si="14"/>
        <v>0.22924060735275564</v>
      </c>
      <c r="AF19" s="73" t="str">
        <f t="shared" si="15"/>
        <v xml:space="preserve">Pomierne obciążenie </v>
      </c>
      <c r="AI19" s="9">
        <f t="shared" si="16"/>
        <v>11</v>
      </c>
      <c r="AJ19" s="78" t="s">
        <v>28</v>
      </c>
      <c r="AK19" s="82">
        <v>0.15588598337595599</v>
      </c>
      <c r="AL19" s="83" t="str">
        <f t="shared" si="17"/>
        <v xml:space="preserve">Pomierne obciążenie </v>
      </c>
    </row>
    <row r="20" spans="2:38" ht="20.75" customHeight="1" x14ac:dyDescent="0.2">
      <c r="B20" s="9">
        <f t="shared" si="18"/>
        <v>12</v>
      </c>
      <c r="C20" s="10" t="s">
        <v>40</v>
      </c>
      <c r="D20" s="11">
        <v>1215.8261208158201</v>
      </c>
      <c r="E20" s="22">
        <v>830.48158309318899</v>
      </c>
      <c r="F20" s="22">
        <v>433.8</v>
      </c>
      <c r="G20" s="23">
        <v>86</v>
      </c>
      <c r="J20" s="9">
        <f t="shared" si="0"/>
        <v>12</v>
      </c>
      <c r="K20" s="40" t="s">
        <v>40</v>
      </c>
      <c r="L20" s="11">
        <f t="shared" si="1"/>
        <v>1215.8261208158201</v>
      </c>
      <c r="M20" s="22">
        <f t="shared" si="2"/>
        <v>830.48158309318899</v>
      </c>
      <c r="N20" s="22">
        <f t="shared" si="3"/>
        <v>13.199999999999989</v>
      </c>
      <c r="O20" s="23">
        <f t="shared" si="4"/>
        <v>86</v>
      </c>
      <c r="R20" s="9">
        <f t="shared" si="5"/>
        <v>12</v>
      </c>
      <c r="S20" s="40" t="s">
        <v>40</v>
      </c>
      <c r="T20" s="89">
        <f t="shared" si="6"/>
        <v>-0.63110731060474101</v>
      </c>
      <c r="U20" s="90">
        <f t="shared" si="7"/>
        <v>-0.5076122331469618</v>
      </c>
      <c r="V20" s="90">
        <f t="shared" si="8"/>
        <v>-0.9236297692765143</v>
      </c>
      <c r="W20" s="91">
        <f t="shared" si="9"/>
        <v>0.85453514242367024</v>
      </c>
      <c r="Z20" s="9">
        <f t="shared" si="10"/>
        <v>12</v>
      </c>
      <c r="AA20" s="40" t="s">
        <v>40</v>
      </c>
      <c r="AB20" s="65">
        <f t="shared" si="11"/>
        <v>6.8310786214604446</v>
      </c>
      <c r="AC20" s="71">
        <f t="shared" si="12"/>
        <v>7.5397621165338276</v>
      </c>
      <c r="AD20" s="96">
        <f t="shared" si="13"/>
        <v>4.8599452757465134E-2</v>
      </c>
      <c r="AE20" s="72">
        <f t="shared" si="14"/>
        <v>0.16645202773915024</v>
      </c>
      <c r="AF20" s="73" t="str">
        <f t="shared" si="15"/>
        <v xml:space="preserve">Pomierne obciążenie </v>
      </c>
      <c r="AI20" s="9">
        <f t="shared" si="16"/>
        <v>12</v>
      </c>
      <c r="AJ20" s="78" t="s">
        <v>41</v>
      </c>
      <c r="AK20" s="82">
        <v>0.162190176452704</v>
      </c>
      <c r="AL20" s="83" t="str">
        <f t="shared" si="17"/>
        <v xml:space="preserve">Pomierne obciążenie </v>
      </c>
    </row>
    <row r="21" spans="2:38" ht="20.75" customHeight="1" x14ac:dyDescent="0.2">
      <c r="B21" s="9">
        <f t="shared" si="18"/>
        <v>13</v>
      </c>
      <c r="C21" s="10" t="s">
        <v>42</v>
      </c>
      <c r="D21" s="11">
        <v>2874.8776960905702</v>
      </c>
      <c r="E21" s="22">
        <v>1254.2169051323399</v>
      </c>
      <c r="F21" s="22">
        <v>427.2</v>
      </c>
      <c r="G21" s="23">
        <v>65</v>
      </c>
      <c r="J21" s="9">
        <f t="shared" si="0"/>
        <v>13</v>
      </c>
      <c r="K21" s="40" t="s">
        <v>42</v>
      </c>
      <c r="L21" s="11">
        <f t="shared" si="1"/>
        <v>2874.8776960905702</v>
      </c>
      <c r="M21" s="22">
        <f t="shared" si="2"/>
        <v>1254.2169051323399</v>
      </c>
      <c r="N21" s="22">
        <f t="shared" si="3"/>
        <v>19.800000000000011</v>
      </c>
      <c r="O21" s="23">
        <f t="shared" si="4"/>
        <v>65</v>
      </c>
      <c r="R21" s="9">
        <f t="shared" si="5"/>
        <v>13</v>
      </c>
      <c r="S21" s="40" t="s">
        <v>42</v>
      </c>
      <c r="T21" s="89">
        <f t="shared" si="6"/>
        <v>0.37140432013109581</v>
      </c>
      <c r="U21" s="90">
        <f t="shared" si="7"/>
        <v>6.6352561890247339E-2</v>
      </c>
      <c r="V21" s="90">
        <f t="shared" si="8"/>
        <v>-0.6397196206366268</v>
      </c>
      <c r="W21" s="91">
        <f t="shared" si="9"/>
        <v>-1.4784345024631143E-2</v>
      </c>
      <c r="Z21" s="9">
        <f t="shared" si="10"/>
        <v>13</v>
      </c>
      <c r="AA21" s="40" t="s">
        <v>42</v>
      </c>
      <c r="AB21" s="65">
        <f t="shared" si="11"/>
        <v>6.6822860399657911</v>
      </c>
      <c r="AC21" s="71">
        <f t="shared" si="12"/>
        <v>6.6099240266099226</v>
      </c>
      <c r="AD21" s="96">
        <f t="shared" si="13"/>
        <v>6.9322584682036337E-2</v>
      </c>
      <c r="AE21" s="72">
        <f t="shared" si="14"/>
        <v>0.26924899167616168</v>
      </c>
      <c r="AF21" s="73" t="str">
        <f t="shared" si="15"/>
        <v>Wysokie obciążenie</v>
      </c>
      <c r="AI21" s="9">
        <f t="shared" si="16"/>
        <v>13</v>
      </c>
      <c r="AJ21" s="78" t="s">
        <v>40</v>
      </c>
      <c r="AK21" s="82">
        <v>0.16645202773914999</v>
      </c>
      <c r="AL21" s="83" t="str">
        <f t="shared" si="17"/>
        <v xml:space="preserve">Pomierne obciążenie </v>
      </c>
    </row>
    <row r="22" spans="2:38" ht="20.75" customHeight="1" x14ac:dyDescent="0.2">
      <c r="B22" s="9">
        <f t="shared" si="18"/>
        <v>14</v>
      </c>
      <c r="C22" s="10" t="s">
        <v>43</v>
      </c>
      <c r="D22" s="11">
        <v>2988.47812216183</v>
      </c>
      <c r="E22" s="22">
        <v>1765.15323455211</v>
      </c>
      <c r="F22" s="22">
        <v>414</v>
      </c>
      <c r="G22" s="23">
        <v>112</v>
      </c>
      <c r="J22" s="9">
        <f t="shared" si="0"/>
        <v>14</v>
      </c>
      <c r="K22" s="40" t="s">
        <v>43</v>
      </c>
      <c r="L22" s="11">
        <f t="shared" si="1"/>
        <v>2988.47812216183</v>
      </c>
      <c r="M22" s="22">
        <f t="shared" si="2"/>
        <v>1765.15323455211</v>
      </c>
      <c r="N22" s="22">
        <f t="shared" si="3"/>
        <v>33</v>
      </c>
      <c r="O22" s="23">
        <f t="shared" si="4"/>
        <v>112</v>
      </c>
      <c r="R22" s="9">
        <f t="shared" si="5"/>
        <v>14</v>
      </c>
      <c r="S22" s="40" t="s">
        <v>43</v>
      </c>
      <c r="T22" s="89">
        <f t="shared" si="6"/>
        <v>0.44004941235743256</v>
      </c>
      <c r="U22" s="90">
        <f t="shared" si="7"/>
        <v>0.75843427030488531</v>
      </c>
      <c r="V22" s="90">
        <f t="shared" si="8"/>
        <v>-7.1899323356854339E-2</v>
      </c>
      <c r="W22" s="91">
        <f t="shared" si="9"/>
        <v>1.9308354602168052</v>
      </c>
      <c r="Z22" s="9">
        <f t="shared" si="10"/>
        <v>14</v>
      </c>
      <c r="AA22" s="40" t="s">
        <v>43</v>
      </c>
      <c r="AB22" s="65">
        <f t="shared" si="11"/>
        <v>6.3951403585434701</v>
      </c>
      <c r="AC22" s="71">
        <f t="shared" si="12"/>
        <v>5.6931412825769776</v>
      </c>
      <c r="AD22" s="96">
        <f t="shared" si="13"/>
        <v>0.10931488656907284</v>
      </c>
      <c r="AE22" s="72">
        <f t="shared" si="14"/>
        <v>0.37060263990554487</v>
      </c>
      <c r="AF22" s="73" t="str">
        <f t="shared" si="15"/>
        <v>Bardzo wysokie obciążenie</v>
      </c>
      <c r="AI22" s="9">
        <f t="shared" si="16"/>
        <v>14</v>
      </c>
      <c r="AJ22" s="78" t="s">
        <v>44</v>
      </c>
      <c r="AK22" s="82">
        <v>0.171708716930319</v>
      </c>
      <c r="AL22" s="83" t="str">
        <f t="shared" si="17"/>
        <v xml:space="preserve">Pomierne obciążenie </v>
      </c>
    </row>
    <row r="23" spans="2:38" ht="20.75" customHeight="1" x14ac:dyDescent="0.2">
      <c r="B23" s="9">
        <f t="shared" si="18"/>
        <v>15</v>
      </c>
      <c r="C23" s="10" t="s">
        <v>45</v>
      </c>
      <c r="D23" s="11">
        <v>5648.44160963788</v>
      </c>
      <c r="E23" s="22">
        <v>2057.5987039249799</v>
      </c>
      <c r="F23" s="22">
        <v>421.8</v>
      </c>
      <c r="G23" s="23">
        <v>82</v>
      </c>
      <c r="J23" s="9">
        <f t="shared" si="0"/>
        <v>15</v>
      </c>
      <c r="K23" s="40" t="s">
        <v>45</v>
      </c>
      <c r="L23" s="11">
        <f t="shared" si="1"/>
        <v>5648.44160963788</v>
      </c>
      <c r="M23" s="22">
        <f t="shared" si="2"/>
        <v>2057.5987039249799</v>
      </c>
      <c r="N23" s="22">
        <f t="shared" si="3"/>
        <v>25.199999999999989</v>
      </c>
      <c r="O23" s="23">
        <f t="shared" si="4"/>
        <v>82</v>
      </c>
      <c r="R23" s="9">
        <f t="shared" si="5"/>
        <v>15</v>
      </c>
      <c r="S23" s="40" t="s">
        <v>45</v>
      </c>
      <c r="T23" s="89">
        <f t="shared" si="6"/>
        <v>2.0473799940397917</v>
      </c>
      <c r="U23" s="90">
        <f t="shared" si="7"/>
        <v>1.1545622189507405</v>
      </c>
      <c r="V23" s="90">
        <f t="shared" si="8"/>
        <v>-0.40742949902217523</v>
      </c>
      <c r="W23" s="91">
        <f t="shared" si="9"/>
        <v>0.6889504781478033</v>
      </c>
      <c r="Z23" s="9">
        <f t="shared" si="10"/>
        <v>15</v>
      </c>
      <c r="AA23" s="40" t="s">
        <v>45</v>
      </c>
      <c r="AB23" s="65">
        <f t="shared" si="11"/>
        <v>6.3116224587956644</v>
      </c>
      <c r="AC23" s="71">
        <f t="shared" si="12"/>
        <v>4.7215030846186234</v>
      </c>
      <c r="AD23" s="96">
        <f t="shared" si="13"/>
        <v>0.12094686739198146</v>
      </c>
      <c r="AE23" s="72">
        <f t="shared" si="14"/>
        <v>0.47802075697098112</v>
      </c>
      <c r="AF23" s="73" t="str">
        <f t="shared" si="15"/>
        <v>Bardzo wysokie obciążenie</v>
      </c>
      <c r="AI23" s="9">
        <f t="shared" si="16"/>
        <v>15</v>
      </c>
      <c r="AJ23" s="78" t="s">
        <v>24</v>
      </c>
      <c r="AK23" s="82">
        <v>0.17199570931139499</v>
      </c>
      <c r="AL23" s="83" t="str">
        <f t="shared" si="17"/>
        <v xml:space="preserve">Pomierne obciążenie </v>
      </c>
    </row>
    <row r="24" spans="2:38" ht="20.75" customHeight="1" x14ac:dyDescent="0.2">
      <c r="B24" s="9">
        <f t="shared" si="18"/>
        <v>16</v>
      </c>
      <c r="C24" s="10" t="s">
        <v>46</v>
      </c>
      <c r="D24" s="11">
        <v>2397.7673659286802</v>
      </c>
      <c r="E24" s="22">
        <v>1513.2517920759601</v>
      </c>
      <c r="F24" s="22">
        <v>394.8</v>
      </c>
      <c r="G24" s="23">
        <v>40</v>
      </c>
      <c r="J24" s="9">
        <f t="shared" si="0"/>
        <v>16</v>
      </c>
      <c r="K24" s="40" t="s">
        <v>46</v>
      </c>
      <c r="L24" s="11">
        <f t="shared" si="1"/>
        <v>2397.7673659286802</v>
      </c>
      <c r="M24" s="22">
        <f t="shared" si="2"/>
        <v>1513.2517920759601</v>
      </c>
      <c r="N24" s="22">
        <f t="shared" si="3"/>
        <v>52.199999999999989</v>
      </c>
      <c r="O24" s="23">
        <f t="shared" si="4"/>
        <v>40</v>
      </c>
      <c r="R24" s="9">
        <f t="shared" si="5"/>
        <v>16</v>
      </c>
      <c r="S24" s="40" t="s">
        <v>46</v>
      </c>
      <c r="T24" s="89">
        <f t="shared" si="6"/>
        <v>8.3101857290361791E-2</v>
      </c>
      <c r="U24" s="90">
        <f t="shared" si="7"/>
        <v>0.4172246701596275</v>
      </c>
      <c r="V24" s="90">
        <f t="shared" si="8"/>
        <v>0.75402110905008768</v>
      </c>
      <c r="W24" s="91">
        <f t="shared" si="9"/>
        <v>-1.0496884967487994</v>
      </c>
      <c r="Z24" s="9">
        <f t="shared" si="10"/>
        <v>16</v>
      </c>
      <c r="AA24" s="40" t="s">
        <v>46</v>
      </c>
      <c r="AB24" s="65">
        <f t="shared" si="11"/>
        <v>6.556657316093661</v>
      </c>
      <c r="AC24" s="71">
        <f t="shared" si="12"/>
        <v>6.5241477875880474</v>
      </c>
      <c r="AD24" s="96">
        <f t="shared" si="13"/>
        <v>8.6819563309369463E-2</v>
      </c>
      <c r="AE24" s="72">
        <f t="shared" si="14"/>
        <v>0.27873186514083748</v>
      </c>
      <c r="AF24" s="73" t="str">
        <f t="shared" si="15"/>
        <v>Wysokie obciążenie</v>
      </c>
      <c r="AI24" s="9">
        <f t="shared" si="16"/>
        <v>16</v>
      </c>
      <c r="AJ24" s="78" t="s">
        <v>47</v>
      </c>
      <c r="AK24" s="82">
        <v>0.17532911287423</v>
      </c>
      <c r="AL24" s="83" t="str">
        <f t="shared" si="17"/>
        <v xml:space="preserve">Pomierne obciążenie </v>
      </c>
    </row>
    <row r="25" spans="2:38" ht="20.75" customHeight="1" x14ac:dyDescent="0.2">
      <c r="B25" s="9">
        <f t="shared" si="18"/>
        <v>17</v>
      </c>
      <c r="C25" s="10" t="s">
        <v>48</v>
      </c>
      <c r="D25" s="11">
        <v>2574.1041191437898</v>
      </c>
      <c r="E25" s="22">
        <v>3029.5954286092001</v>
      </c>
      <c r="F25" s="22">
        <v>385.2</v>
      </c>
      <c r="G25" s="23">
        <v>48</v>
      </c>
      <c r="J25" s="9">
        <f t="shared" si="0"/>
        <v>17</v>
      </c>
      <c r="K25" s="40" t="s">
        <v>48</v>
      </c>
      <c r="L25" s="11">
        <f t="shared" si="1"/>
        <v>2574.1041191437898</v>
      </c>
      <c r="M25" s="22">
        <f t="shared" si="2"/>
        <v>3029.5954286092001</v>
      </c>
      <c r="N25" s="22">
        <f t="shared" si="3"/>
        <v>61.800000000000011</v>
      </c>
      <c r="O25" s="23">
        <f t="shared" si="4"/>
        <v>48</v>
      </c>
      <c r="R25" s="9">
        <f t="shared" si="5"/>
        <v>17</v>
      </c>
      <c r="S25" s="40" t="s">
        <v>48</v>
      </c>
      <c r="T25" s="89">
        <f t="shared" si="6"/>
        <v>0.18965649890544628</v>
      </c>
      <c r="U25" s="90">
        <f t="shared" si="7"/>
        <v>2.471166881916909</v>
      </c>
      <c r="V25" s="90">
        <f t="shared" si="8"/>
        <v>1.1669813252535599</v>
      </c>
      <c r="W25" s="91">
        <f t="shared" si="9"/>
        <v>-0.71851916819706563</v>
      </c>
      <c r="Z25" s="9">
        <f t="shared" si="10"/>
        <v>17</v>
      </c>
      <c r="AA25" s="40" t="s">
        <v>48</v>
      </c>
      <c r="AB25" s="65">
        <f t="shared" si="11"/>
        <v>6.3221179734788722</v>
      </c>
      <c r="AC25" s="71">
        <f t="shared" si="12"/>
        <v>5.6658172524367165</v>
      </c>
      <c r="AD25" s="96">
        <f t="shared" si="13"/>
        <v>0.11948510140061586</v>
      </c>
      <c r="AE25" s="72">
        <f t="shared" si="14"/>
        <v>0.37362341026479318</v>
      </c>
      <c r="AF25" s="73" t="str">
        <f t="shared" si="15"/>
        <v>Bardzo wysokie obciążenie</v>
      </c>
      <c r="AI25" s="9">
        <f t="shared" si="16"/>
        <v>17</v>
      </c>
      <c r="AJ25" s="78" t="s">
        <v>49</v>
      </c>
      <c r="AK25" s="82">
        <v>0.21723764130607601</v>
      </c>
      <c r="AL25" s="83" t="str">
        <f t="shared" si="17"/>
        <v xml:space="preserve">Pomierne obciążenie </v>
      </c>
    </row>
    <row r="26" spans="2:38" ht="20.75" customHeight="1" x14ac:dyDescent="0.2">
      <c r="B26" s="9">
        <f t="shared" si="18"/>
        <v>18</v>
      </c>
      <c r="C26" s="10" t="s">
        <v>23</v>
      </c>
      <c r="D26" s="11">
        <v>1565.56864273879</v>
      </c>
      <c r="E26" s="22">
        <v>525.02848388514599</v>
      </c>
      <c r="F26" s="22">
        <v>436.8</v>
      </c>
      <c r="G26" s="23">
        <v>35</v>
      </c>
      <c r="J26" s="9">
        <f t="shared" si="0"/>
        <v>18</v>
      </c>
      <c r="K26" s="40" t="s">
        <v>23</v>
      </c>
      <c r="L26" s="11">
        <f t="shared" si="1"/>
        <v>1565.56864273879</v>
      </c>
      <c r="M26" s="22">
        <f t="shared" si="2"/>
        <v>525.02848388514599</v>
      </c>
      <c r="N26" s="22">
        <f t="shared" si="3"/>
        <v>10.199999999999989</v>
      </c>
      <c r="O26" s="23">
        <f t="shared" si="4"/>
        <v>35</v>
      </c>
      <c r="R26" s="9">
        <f t="shared" si="5"/>
        <v>18</v>
      </c>
      <c r="S26" s="40" t="s">
        <v>23</v>
      </c>
      <c r="T26" s="89">
        <f t="shared" si="6"/>
        <v>-0.41976912726189008</v>
      </c>
      <c r="U26" s="90">
        <f t="shared" si="7"/>
        <v>-0.9213594861178297</v>
      </c>
      <c r="V26" s="90">
        <f t="shared" si="8"/>
        <v>-1.0526798368400991</v>
      </c>
      <c r="W26" s="91">
        <f t="shared" si="9"/>
        <v>-1.2566693270936331</v>
      </c>
      <c r="Z26" s="9">
        <f t="shared" si="10"/>
        <v>18</v>
      </c>
      <c r="AA26" s="40" t="s">
        <v>23</v>
      </c>
      <c r="AB26" s="65">
        <f t="shared" si="11"/>
        <v>7.0187402073224519</v>
      </c>
      <c r="AC26" s="71">
        <f t="shared" si="12"/>
        <v>8.2152973413102242</v>
      </c>
      <c r="AD26" s="96">
        <f t="shared" si="13"/>
        <v>2.2462828458542305E-2</v>
      </c>
      <c r="AE26" s="72">
        <f t="shared" si="14"/>
        <v>9.1769165322529878E-2</v>
      </c>
      <c r="AF26" s="73" t="str">
        <f t="shared" si="15"/>
        <v>Słabe obciążenie</v>
      </c>
      <c r="AI26" s="9">
        <f t="shared" si="16"/>
        <v>18</v>
      </c>
      <c r="AJ26" s="78" t="s">
        <v>36</v>
      </c>
      <c r="AK26" s="82">
        <v>0.22028350806149</v>
      </c>
      <c r="AL26" s="83" t="str">
        <f t="shared" si="17"/>
        <v xml:space="preserve">Pomierne obciążenie </v>
      </c>
    </row>
    <row r="27" spans="2:38" ht="20.75" customHeight="1" x14ac:dyDescent="0.2">
      <c r="B27" s="9">
        <f t="shared" si="18"/>
        <v>19</v>
      </c>
      <c r="C27" s="10" t="s">
        <v>47</v>
      </c>
      <c r="D27" s="11">
        <v>753.72976437166699</v>
      </c>
      <c r="E27" s="22">
        <v>446.83010641177498</v>
      </c>
      <c r="F27" s="22">
        <v>396</v>
      </c>
      <c r="G27" s="23">
        <v>81</v>
      </c>
      <c r="J27" s="9">
        <f t="shared" si="0"/>
        <v>19</v>
      </c>
      <c r="K27" s="40" t="s">
        <v>47</v>
      </c>
      <c r="L27" s="11">
        <f t="shared" si="1"/>
        <v>753.72976437166699</v>
      </c>
      <c r="M27" s="22">
        <f t="shared" si="2"/>
        <v>446.83010641177498</v>
      </c>
      <c r="N27" s="22">
        <f t="shared" si="3"/>
        <v>51</v>
      </c>
      <c r="O27" s="23">
        <f t="shared" si="4"/>
        <v>81</v>
      </c>
      <c r="R27" s="9">
        <f t="shared" si="5"/>
        <v>19</v>
      </c>
      <c r="S27" s="40" t="s">
        <v>47</v>
      </c>
      <c r="T27" s="89">
        <f t="shared" si="6"/>
        <v>-0.91033731090126457</v>
      </c>
      <c r="U27" s="90">
        <f t="shared" si="7"/>
        <v>-1.0272820121955559</v>
      </c>
      <c r="V27" s="90">
        <f t="shared" si="8"/>
        <v>0.70240108202465423</v>
      </c>
      <c r="W27" s="91">
        <f t="shared" si="9"/>
        <v>0.64755431207883651</v>
      </c>
      <c r="Z27" s="9">
        <f t="shared" si="10"/>
        <v>19</v>
      </c>
      <c r="AA27" s="40" t="s">
        <v>47</v>
      </c>
      <c r="AB27" s="65">
        <f t="shared" si="11"/>
        <v>6.6523040358297223</v>
      </c>
      <c r="AC27" s="71">
        <f t="shared" si="12"/>
        <v>7.4594654660300979</v>
      </c>
      <c r="AD27" s="96">
        <f t="shared" si="13"/>
        <v>7.3498337403264058E-2</v>
      </c>
      <c r="AE27" s="72">
        <f t="shared" si="14"/>
        <v>0.17532911287423036</v>
      </c>
      <c r="AF27" s="73" t="str">
        <f t="shared" si="15"/>
        <v xml:space="preserve">Pomierne obciążenie </v>
      </c>
      <c r="AI27" s="9">
        <f t="shared" si="16"/>
        <v>19</v>
      </c>
      <c r="AJ27" s="78" t="s">
        <v>34</v>
      </c>
      <c r="AK27" s="82">
        <v>0.22415447675868899</v>
      </c>
      <c r="AL27" s="83" t="str">
        <f t="shared" si="17"/>
        <v xml:space="preserve">Pomierne obciążenie </v>
      </c>
    </row>
    <row r="28" spans="2:38" ht="20.75" customHeight="1" x14ac:dyDescent="0.2">
      <c r="B28" s="9">
        <f t="shared" si="18"/>
        <v>20</v>
      </c>
      <c r="C28" s="10" t="s">
        <v>50</v>
      </c>
      <c r="D28" s="11">
        <v>1823.11243260993</v>
      </c>
      <c r="E28" s="22">
        <v>1186.4723209528399</v>
      </c>
      <c r="F28" s="22">
        <v>414</v>
      </c>
      <c r="G28" s="23">
        <v>75</v>
      </c>
      <c r="J28" s="9">
        <f t="shared" si="0"/>
        <v>20</v>
      </c>
      <c r="K28" s="40" t="s">
        <v>50</v>
      </c>
      <c r="L28" s="11">
        <f t="shared" si="1"/>
        <v>1823.11243260993</v>
      </c>
      <c r="M28" s="22">
        <f t="shared" si="2"/>
        <v>1186.4723209528399</v>
      </c>
      <c r="N28" s="22">
        <f t="shared" si="3"/>
        <v>33</v>
      </c>
      <c r="O28" s="23">
        <f t="shared" si="4"/>
        <v>75</v>
      </c>
      <c r="R28" s="9">
        <f t="shared" si="5"/>
        <v>20</v>
      </c>
      <c r="S28" s="40" t="s">
        <v>50</v>
      </c>
      <c r="T28" s="89">
        <f t="shared" si="6"/>
        <v>-0.26414367919416132</v>
      </c>
      <c r="U28" s="90">
        <f t="shared" si="7"/>
        <v>-2.5409923678220498E-2</v>
      </c>
      <c r="V28" s="90">
        <f t="shared" si="8"/>
        <v>-7.1899323356854339E-2</v>
      </c>
      <c r="W28" s="91">
        <f t="shared" si="9"/>
        <v>0.39917731566503617</v>
      </c>
      <c r="Z28" s="9">
        <f t="shared" si="10"/>
        <v>20</v>
      </c>
      <c r="AA28" s="40" t="s">
        <v>50</v>
      </c>
      <c r="AB28" s="65">
        <f t="shared" si="11"/>
        <v>6.6382868329117768</v>
      </c>
      <c r="AC28" s="71">
        <f t="shared" si="12"/>
        <v>6.7598618444713123</v>
      </c>
      <c r="AD28" s="96">
        <f t="shared" si="13"/>
        <v>7.5450587591842866E-2</v>
      </c>
      <c r="AE28" s="72">
        <f t="shared" si="14"/>
        <v>0.25267282360721022</v>
      </c>
      <c r="AF28" s="73" t="str">
        <f t="shared" si="15"/>
        <v>Wysokie obciążenie</v>
      </c>
      <c r="AI28" s="9">
        <f t="shared" si="16"/>
        <v>20</v>
      </c>
      <c r="AJ28" s="78" t="s">
        <v>39</v>
      </c>
      <c r="AK28" s="82">
        <v>0.229240607352756</v>
      </c>
      <c r="AL28" s="83" t="str">
        <f t="shared" si="17"/>
        <v xml:space="preserve">Pomierne obciążenie </v>
      </c>
    </row>
    <row r="29" spans="2:38" ht="20.75" customHeight="1" x14ac:dyDescent="0.2">
      <c r="B29" s="9">
        <f t="shared" si="18"/>
        <v>21</v>
      </c>
      <c r="C29" s="10" t="s">
        <v>51</v>
      </c>
      <c r="D29" s="11">
        <v>1607.5510552753101</v>
      </c>
      <c r="E29" s="22">
        <v>1630.2428271843501</v>
      </c>
      <c r="F29" s="22">
        <v>352.2</v>
      </c>
      <c r="G29" s="23">
        <v>92</v>
      </c>
      <c r="J29" s="9">
        <f t="shared" si="0"/>
        <v>21</v>
      </c>
      <c r="K29" s="40" t="s">
        <v>51</v>
      </c>
      <c r="L29" s="11">
        <f t="shared" si="1"/>
        <v>1607.5510552753101</v>
      </c>
      <c r="M29" s="22">
        <f t="shared" si="2"/>
        <v>1630.2428271843501</v>
      </c>
      <c r="N29" s="22">
        <f t="shared" si="3"/>
        <v>94.800000000000011</v>
      </c>
      <c r="O29" s="23">
        <f t="shared" si="4"/>
        <v>92</v>
      </c>
      <c r="R29" s="9">
        <f t="shared" si="5"/>
        <v>21</v>
      </c>
      <c r="S29" s="40" t="s">
        <v>51</v>
      </c>
      <c r="T29" s="89">
        <f t="shared" si="6"/>
        <v>-0.39440050251178771</v>
      </c>
      <c r="U29" s="90">
        <f t="shared" si="7"/>
        <v>0.57569325182998865</v>
      </c>
      <c r="V29" s="90">
        <f t="shared" si="8"/>
        <v>2.5865320684529922</v>
      </c>
      <c r="W29" s="91">
        <f t="shared" si="9"/>
        <v>1.1029121388374705</v>
      </c>
      <c r="Z29" s="9">
        <f t="shared" si="10"/>
        <v>21</v>
      </c>
      <c r="AA29" s="40" t="s">
        <v>51</v>
      </c>
      <c r="AB29" s="65">
        <f t="shared" si="11"/>
        <v>6.2078235139503795</v>
      </c>
      <c r="AC29" s="71">
        <f t="shared" si="12"/>
        <v>5.9262392602646843</v>
      </c>
      <c r="AD29" s="96">
        <f t="shared" si="13"/>
        <v>0.13540349692318843</v>
      </c>
      <c r="AE29" s="72">
        <f t="shared" si="14"/>
        <v>0.34483281538898369</v>
      </c>
      <c r="AF29" s="73" t="str">
        <f t="shared" si="15"/>
        <v>Wysokie obciążenie</v>
      </c>
      <c r="AI29" s="9">
        <f t="shared" si="16"/>
        <v>21</v>
      </c>
      <c r="AJ29" s="78" t="s">
        <v>30</v>
      </c>
      <c r="AK29" s="82">
        <v>0.23038422119631399</v>
      </c>
      <c r="AL29" s="83" t="str">
        <f t="shared" si="17"/>
        <v xml:space="preserve">Pomierne obciążenie </v>
      </c>
    </row>
    <row r="30" spans="2:38" ht="20.75" customHeight="1" x14ac:dyDescent="0.2">
      <c r="B30" s="9">
        <f t="shared" si="18"/>
        <v>22</v>
      </c>
      <c r="C30" s="10" t="s">
        <v>52</v>
      </c>
      <c r="D30" s="11">
        <v>1863.9154677432</v>
      </c>
      <c r="E30" s="22">
        <v>407.03151331984901</v>
      </c>
      <c r="F30" s="22">
        <v>375</v>
      </c>
      <c r="G30" s="23">
        <v>80</v>
      </c>
      <c r="J30" s="9">
        <f t="shared" si="0"/>
        <v>22</v>
      </c>
      <c r="K30" s="40" t="s">
        <v>52</v>
      </c>
      <c r="L30" s="11">
        <f t="shared" si="1"/>
        <v>1863.9154677432</v>
      </c>
      <c r="M30" s="22">
        <f t="shared" si="2"/>
        <v>407.03151331984901</v>
      </c>
      <c r="N30" s="22">
        <f t="shared" si="3"/>
        <v>72</v>
      </c>
      <c r="O30" s="23">
        <f t="shared" si="4"/>
        <v>80</v>
      </c>
      <c r="R30" s="9">
        <f t="shared" si="5"/>
        <v>22</v>
      </c>
      <c r="S30" s="40" t="s">
        <v>52</v>
      </c>
      <c r="T30" s="89">
        <f t="shared" si="6"/>
        <v>-0.2394877143645858</v>
      </c>
      <c r="U30" s="90">
        <f t="shared" si="7"/>
        <v>-1.0811906436895007</v>
      </c>
      <c r="V30" s="90">
        <f t="shared" si="8"/>
        <v>1.6057515549697476</v>
      </c>
      <c r="W30" s="91">
        <f t="shared" si="9"/>
        <v>0.60615814600986984</v>
      </c>
      <c r="Z30" s="9">
        <f t="shared" si="10"/>
        <v>22</v>
      </c>
      <c r="AA30" s="40" t="s">
        <v>52</v>
      </c>
      <c r="AB30" s="65">
        <f t="shared" si="11"/>
        <v>6.4531384450903024</v>
      </c>
      <c r="AC30" s="71">
        <f t="shared" si="12"/>
        <v>6.7941151825509873</v>
      </c>
      <c r="AD30" s="96">
        <f t="shared" si="13"/>
        <v>0.10123718547128058</v>
      </c>
      <c r="AE30" s="72">
        <f t="shared" si="14"/>
        <v>0.24888599319291005</v>
      </c>
      <c r="AF30" s="73" t="str">
        <f t="shared" si="15"/>
        <v>Wysokie obciążenie</v>
      </c>
      <c r="AI30" s="9">
        <f t="shared" si="16"/>
        <v>22</v>
      </c>
      <c r="AJ30" s="78" t="s">
        <v>22</v>
      </c>
      <c r="AK30" s="82">
        <v>0.234693154181012</v>
      </c>
      <c r="AL30" s="83" t="str">
        <f t="shared" si="17"/>
        <v xml:space="preserve">Pomierne obciążenie </v>
      </c>
    </row>
    <row r="31" spans="2:38" ht="20.75" customHeight="1" x14ac:dyDescent="0.2">
      <c r="B31" s="9">
        <f t="shared" si="18"/>
        <v>23</v>
      </c>
      <c r="C31" s="10" t="s">
        <v>53</v>
      </c>
      <c r="D31" s="11">
        <v>2526.1260742802601</v>
      </c>
      <c r="E31" s="22">
        <v>1461.57495978527</v>
      </c>
      <c r="F31" s="22">
        <v>387</v>
      </c>
      <c r="G31" s="23">
        <v>36</v>
      </c>
      <c r="J31" s="9">
        <f t="shared" si="0"/>
        <v>23</v>
      </c>
      <c r="K31" s="40" t="s">
        <v>53</v>
      </c>
      <c r="L31" s="11">
        <f t="shared" si="1"/>
        <v>2526.1260742802601</v>
      </c>
      <c r="M31" s="22">
        <f t="shared" si="2"/>
        <v>1461.57495978527</v>
      </c>
      <c r="N31" s="22">
        <f t="shared" si="3"/>
        <v>60</v>
      </c>
      <c r="O31" s="23">
        <f t="shared" si="4"/>
        <v>36</v>
      </c>
      <c r="R31" s="9">
        <f t="shared" si="5"/>
        <v>23</v>
      </c>
      <c r="S31" s="40" t="s">
        <v>53</v>
      </c>
      <c r="T31" s="89">
        <f t="shared" si="6"/>
        <v>0.1606649059299905</v>
      </c>
      <c r="U31" s="90">
        <f t="shared" si="7"/>
        <v>0.34722653474065557</v>
      </c>
      <c r="V31" s="90">
        <f t="shared" si="8"/>
        <v>1.0895512847154085</v>
      </c>
      <c r="W31" s="91">
        <f t="shared" si="9"/>
        <v>-1.2152731610246663</v>
      </c>
      <c r="Z31" s="9">
        <f t="shared" si="10"/>
        <v>23</v>
      </c>
      <c r="AA31" s="40" t="s">
        <v>53</v>
      </c>
      <c r="AB31" s="65">
        <f t="shared" si="11"/>
        <v>6.5198758404266943</v>
      </c>
      <c r="AC31" s="71">
        <f t="shared" si="12"/>
        <v>6.4862159329899693</v>
      </c>
      <c r="AD31" s="96">
        <f t="shared" si="13"/>
        <v>9.1942314490713439E-2</v>
      </c>
      <c r="AE31" s="72">
        <f t="shared" si="14"/>
        <v>0.28292536886093311</v>
      </c>
      <c r="AF31" s="73" t="str">
        <f t="shared" si="15"/>
        <v>Wysokie obciążenie</v>
      </c>
      <c r="AI31" s="9">
        <f t="shared" si="16"/>
        <v>23</v>
      </c>
      <c r="AJ31" s="78" t="s">
        <v>54</v>
      </c>
      <c r="AK31" s="82">
        <v>0.23982269607853901</v>
      </c>
      <c r="AL31" s="83" t="str">
        <f t="shared" si="17"/>
        <v xml:space="preserve">Pomierne obciążenie </v>
      </c>
    </row>
    <row r="32" spans="2:38" ht="20.75" customHeight="1" x14ac:dyDescent="0.2">
      <c r="B32" s="9">
        <f t="shared" si="18"/>
        <v>24</v>
      </c>
      <c r="C32" s="10" t="s">
        <v>54</v>
      </c>
      <c r="D32" s="11">
        <v>1951.0420831337101</v>
      </c>
      <c r="E32" s="22">
        <v>491.01903600072899</v>
      </c>
      <c r="F32" s="22">
        <v>397.2</v>
      </c>
      <c r="G32" s="23">
        <v>82</v>
      </c>
      <c r="J32" s="9">
        <f t="shared" si="0"/>
        <v>24</v>
      </c>
      <c r="K32" s="40" t="s">
        <v>54</v>
      </c>
      <c r="L32" s="11">
        <f t="shared" si="1"/>
        <v>1951.0420831337101</v>
      </c>
      <c r="M32" s="22">
        <f t="shared" si="2"/>
        <v>491.01903600072899</v>
      </c>
      <c r="N32" s="22">
        <f t="shared" si="3"/>
        <v>49.800000000000011</v>
      </c>
      <c r="O32" s="23">
        <f t="shared" si="4"/>
        <v>82</v>
      </c>
      <c r="R32" s="9">
        <f t="shared" si="5"/>
        <v>24</v>
      </c>
      <c r="S32" s="40" t="s">
        <v>54</v>
      </c>
      <c r="T32" s="89">
        <f t="shared" si="6"/>
        <v>-0.18683989643212076</v>
      </c>
      <c r="U32" s="90">
        <f t="shared" si="7"/>
        <v>-0.9674265113787176</v>
      </c>
      <c r="V32" s="90">
        <f t="shared" si="8"/>
        <v>0.6507810549992209</v>
      </c>
      <c r="W32" s="91">
        <f t="shared" si="9"/>
        <v>0.6889504781478033</v>
      </c>
      <c r="Z32" s="9">
        <f t="shared" si="10"/>
        <v>24</v>
      </c>
      <c r="AA32" s="40" t="s">
        <v>54</v>
      </c>
      <c r="AB32" s="65">
        <f t="shared" si="11"/>
        <v>6.5613344713047521</v>
      </c>
      <c r="AC32" s="71">
        <f t="shared" si="12"/>
        <v>6.8760961920524339</v>
      </c>
      <c r="AD32" s="96">
        <f t="shared" si="13"/>
        <v>8.6168151098508616E-2</v>
      </c>
      <c r="AE32" s="72">
        <f t="shared" si="14"/>
        <v>0.23982269607853857</v>
      </c>
      <c r="AF32" s="73" t="str">
        <f t="shared" si="15"/>
        <v xml:space="preserve">Pomierne obciążenie </v>
      </c>
      <c r="AI32" s="9">
        <f t="shared" si="16"/>
        <v>24</v>
      </c>
      <c r="AJ32" s="78" t="s">
        <v>52</v>
      </c>
      <c r="AK32" s="82">
        <v>0.24888599319290999</v>
      </c>
      <c r="AL32" s="83" t="str">
        <f t="shared" si="17"/>
        <v>Wysokie obciążenie</v>
      </c>
    </row>
    <row r="33" spans="2:38" ht="20.75" customHeight="1" x14ac:dyDescent="0.2">
      <c r="B33" s="9">
        <f t="shared" si="18"/>
        <v>25</v>
      </c>
      <c r="C33" s="10" t="s">
        <v>31</v>
      </c>
      <c r="D33" s="11">
        <v>1209.94316929509</v>
      </c>
      <c r="E33" s="22">
        <v>927.35887370603905</v>
      </c>
      <c r="F33" s="22">
        <v>444</v>
      </c>
      <c r="G33" s="23">
        <v>53</v>
      </c>
      <c r="J33" s="9">
        <f t="shared" si="0"/>
        <v>25</v>
      </c>
      <c r="K33" s="40" t="s">
        <v>31</v>
      </c>
      <c r="L33" s="11">
        <f t="shared" si="1"/>
        <v>1209.94316929509</v>
      </c>
      <c r="M33" s="22">
        <f t="shared" si="2"/>
        <v>927.35887370603905</v>
      </c>
      <c r="N33" s="22">
        <f t="shared" si="3"/>
        <v>3</v>
      </c>
      <c r="O33" s="23">
        <f t="shared" si="4"/>
        <v>53</v>
      </c>
      <c r="R33" s="9">
        <f t="shared" si="5"/>
        <v>25</v>
      </c>
      <c r="S33" s="40" t="s">
        <v>31</v>
      </c>
      <c r="T33" s="89">
        <f t="shared" si="6"/>
        <v>-0.63466218943459918</v>
      </c>
      <c r="U33" s="90">
        <f t="shared" si="7"/>
        <v>-0.37638844471511829</v>
      </c>
      <c r="V33" s="90">
        <f t="shared" si="8"/>
        <v>-1.362399998992702</v>
      </c>
      <c r="W33" s="91">
        <f t="shared" si="9"/>
        <v>-0.51153833785223191</v>
      </c>
      <c r="Z33" s="9">
        <f t="shared" si="10"/>
        <v>25</v>
      </c>
      <c r="AA33" s="40" t="s">
        <v>31</v>
      </c>
      <c r="AB33" s="65">
        <f t="shared" si="11"/>
        <v>7.00311553585182</v>
      </c>
      <c r="AC33" s="71">
        <f t="shared" si="12"/>
        <v>8.0046627336922622</v>
      </c>
      <c r="AD33" s="96">
        <f t="shared" si="13"/>
        <v>2.4638959317429321E-2</v>
      </c>
      <c r="AE33" s="72">
        <f t="shared" si="14"/>
        <v>0.1150555830309743</v>
      </c>
      <c r="AF33" s="73" t="str">
        <f t="shared" si="15"/>
        <v>Słabe obciążenie</v>
      </c>
      <c r="AI33" s="9">
        <f t="shared" si="16"/>
        <v>25</v>
      </c>
      <c r="AJ33" s="78" t="s">
        <v>50</v>
      </c>
      <c r="AK33" s="82">
        <v>0.25267282360721</v>
      </c>
      <c r="AL33" s="83" t="str">
        <f t="shared" si="17"/>
        <v>Wysokie obciążenie</v>
      </c>
    </row>
    <row r="34" spans="2:38" ht="20.75" customHeight="1" x14ac:dyDescent="0.2">
      <c r="B34" s="9">
        <f t="shared" si="18"/>
        <v>26</v>
      </c>
      <c r="C34" s="10" t="s">
        <v>29</v>
      </c>
      <c r="D34" s="11">
        <v>1786.60292678315</v>
      </c>
      <c r="E34" s="22">
        <v>711.66125194182302</v>
      </c>
      <c r="F34" s="22">
        <v>447</v>
      </c>
      <c r="G34" s="23">
        <v>49</v>
      </c>
      <c r="J34" s="9">
        <f t="shared" si="0"/>
        <v>26</v>
      </c>
      <c r="K34" s="40" t="s">
        <v>29</v>
      </c>
      <c r="L34" s="11">
        <f t="shared" si="1"/>
        <v>1786.60292678315</v>
      </c>
      <c r="M34" s="22">
        <f t="shared" si="2"/>
        <v>711.66125194182302</v>
      </c>
      <c r="N34" s="22">
        <f t="shared" si="3"/>
        <v>0</v>
      </c>
      <c r="O34" s="23">
        <f t="shared" si="4"/>
        <v>49</v>
      </c>
      <c r="R34" s="9">
        <f t="shared" si="5"/>
        <v>26</v>
      </c>
      <c r="S34" s="40" t="s">
        <v>29</v>
      </c>
      <c r="T34" s="89">
        <f t="shared" si="6"/>
        <v>-0.28620520203603161</v>
      </c>
      <c r="U34" s="90">
        <f t="shared" si="7"/>
        <v>-0.66855866236450512</v>
      </c>
      <c r="V34" s="90">
        <f t="shared" si="8"/>
        <v>-1.4914500665562869</v>
      </c>
      <c r="W34" s="91">
        <f t="shared" si="9"/>
        <v>-0.67712300212809884</v>
      </c>
      <c r="Z34" s="9">
        <f t="shared" si="10"/>
        <v>26</v>
      </c>
      <c r="AA34" s="40" t="s">
        <v>29</v>
      </c>
      <c r="AB34" s="65">
        <f t="shared" si="11"/>
        <v>7.0186234650363923</v>
      </c>
      <c r="AC34" s="71">
        <f t="shared" si="12"/>
        <v>8.0124122909777391</v>
      </c>
      <c r="AD34" s="96">
        <f t="shared" si="13"/>
        <v>2.2479087775847506E-2</v>
      </c>
      <c r="AE34" s="72">
        <f t="shared" si="14"/>
        <v>0.11419884144398662</v>
      </c>
      <c r="AF34" s="73" t="str">
        <f t="shared" si="15"/>
        <v>Słabe obciążenie</v>
      </c>
      <c r="AI34" s="9">
        <f t="shared" si="16"/>
        <v>26</v>
      </c>
      <c r="AJ34" s="78" t="s">
        <v>55</v>
      </c>
      <c r="AK34" s="82">
        <v>0.25476884210620498</v>
      </c>
      <c r="AL34" s="83" t="str">
        <f t="shared" si="17"/>
        <v>Wysokie obciążenie</v>
      </c>
    </row>
    <row r="35" spans="2:38" ht="20.75" customHeight="1" x14ac:dyDescent="0.2">
      <c r="B35" s="9">
        <f t="shared" si="18"/>
        <v>27</v>
      </c>
      <c r="C35" s="10" t="s">
        <v>37</v>
      </c>
      <c r="D35" s="11">
        <v>1405.3564215315</v>
      </c>
      <c r="E35" s="22">
        <v>761.195718134662</v>
      </c>
      <c r="F35" s="22">
        <v>429</v>
      </c>
      <c r="G35" s="23">
        <v>50</v>
      </c>
      <c r="J35" s="9">
        <f t="shared" si="0"/>
        <v>27</v>
      </c>
      <c r="K35" s="40" t="s">
        <v>37</v>
      </c>
      <c r="L35" s="11">
        <f t="shared" si="1"/>
        <v>1405.3564215315</v>
      </c>
      <c r="M35" s="22">
        <f t="shared" si="2"/>
        <v>761.195718134662</v>
      </c>
      <c r="N35" s="22">
        <f t="shared" si="3"/>
        <v>18</v>
      </c>
      <c r="O35" s="23">
        <f t="shared" si="4"/>
        <v>50</v>
      </c>
      <c r="R35" s="9">
        <f t="shared" si="5"/>
        <v>27</v>
      </c>
      <c r="S35" s="40" t="s">
        <v>37</v>
      </c>
      <c r="T35" s="89">
        <f t="shared" si="6"/>
        <v>-0.51658023159403366</v>
      </c>
      <c r="U35" s="90">
        <f t="shared" si="7"/>
        <v>-0.60146243918718989</v>
      </c>
      <c r="V35" s="90">
        <f t="shared" si="8"/>
        <v>-0.71714966117477819</v>
      </c>
      <c r="W35" s="91">
        <f t="shared" si="9"/>
        <v>-0.63572683605913216</v>
      </c>
      <c r="Z35" s="9">
        <f t="shared" si="10"/>
        <v>27</v>
      </c>
      <c r="AA35" s="40" t="s">
        <v>37</v>
      </c>
      <c r="AB35" s="65">
        <f t="shared" si="11"/>
        <v>6.8974254010945595</v>
      </c>
      <c r="AC35" s="71">
        <f t="shared" si="12"/>
        <v>7.762748989577239</v>
      </c>
      <c r="AD35" s="96">
        <f t="shared" si="13"/>
        <v>3.9358984897327809E-2</v>
      </c>
      <c r="AE35" s="72">
        <f t="shared" si="14"/>
        <v>0.14180002241148471</v>
      </c>
      <c r="AF35" s="73" t="str">
        <f t="shared" si="15"/>
        <v xml:space="preserve">Pomierne obciążenie </v>
      </c>
      <c r="AI35" s="9">
        <f t="shared" si="16"/>
        <v>27</v>
      </c>
      <c r="AJ35" s="78" t="s">
        <v>26</v>
      </c>
      <c r="AK35" s="82">
        <v>0.25781160850775198</v>
      </c>
      <c r="AL35" s="83" t="str">
        <f t="shared" si="17"/>
        <v>Wysokie obciążenie</v>
      </c>
    </row>
    <row r="36" spans="2:38" ht="20.75" customHeight="1" x14ac:dyDescent="0.2">
      <c r="B36" s="9">
        <f t="shared" si="18"/>
        <v>28</v>
      </c>
      <c r="C36" s="10" t="s">
        <v>56</v>
      </c>
      <c r="D36" s="11">
        <v>2594.89713445703</v>
      </c>
      <c r="E36" s="22">
        <v>1496.0176449555299</v>
      </c>
      <c r="F36" s="22">
        <v>367.8</v>
      </c>
      <c r="G36" s="23">
        <v>44</v>
      </c>
      <c r="J36" s="9">
        <f t="shared" si="0"/>
        <v>28</v>
      </c>
      <c r="K36" s="40" t="s">
        <v>56</v>
      </c>
      <c r="L36" s="11">
        <f t="shared" si="1"/>
        <v>2594.89713445703</v>
      </c>
      <c r="M36" s="22">
        <f t="shared" si="2"/>
        <v>1496.0176449555299</v>
      </c>
      <c r="N36" s="22">
        <f t="shared" si="3"/>
        <v>79.199999999999989</v>
      </c>
      <c r="O36" s="23">
        <f t="shared" si="4"/>
        <v>44</v>
      </c>
      <c r="R36" s="9">
        <f t="shared" si="5"/>
        <v>28</v>
      </c>
      <c r="S36" s="40" t="s">
        <v>56</v>
      </c>
      <c r="T36" s="89">
        <f t="shared" si="6"/>
        <v>0.20222105084599673</v>
      </c>
      <c r="U36" s="90">
        <f t="shared" si="7"/>
        <v>0.39388039554967447</v>
      </c>
      <c r="V36" s="90">
        <f t="shared" si="8"/>
        <v>1.9154717171223505</v>
      </c>
      <c r="W36" s="91">
        <f t="shared" si="9"/>
        <v>-0.88410383247293256</v>
      </c>
      <c r="Z36" s="9">
        <f t="shared" si="10"/>
        <v>28</v>
      </c>
      <c r="AA36" s="40" t="s">
        <v>56</v>
      </c>
      <c r="AB36" s="65">
        <f t="shared" si="11"/>
        <v>6.3766013918122502</v>
      </c>
      <c r="AC36" s="71">
        <f t="shared" si="12"/>
        <v>6.1373337908533472</v>
      </c>
      <c r="AD36" s="96">
        <f t="shared" si="13"/>
        <v>0.11189690678444297</v>
      </c>
      <c r="AE36" s="72">
        <f t="shared" si="14"/>
        <v>0.3214955515326503</v>
      </c>
      <c r="AF36" s="73" t="str">
        <f t="shared" si="15"/>
        <v>Wysokie obciążenie</v>
      </c>
      <c r="AI36" s="9">
        <f t="shared" si="16"/>
        <v>28</v>
      </c>
      <c r="AJ36" s="78" t="s">
        <v>42</v>
      </c>
      <c r="AK36" s="82">
        <v>0.26924899167616201</v>
      </c>
      <c r="AL36" s="83" t="str">
        <f t="shared" si="17"/>
        <v>Wysokie obciążenie</v>
      </c>
    </row>
    <row r="37" spans="2:38" ht="20.75" customHeight="1" x14ac:dyDescent="0.2">
      <c r="B37" s="9">
        <f t="shared" si="18"/>
        <v>29</v>
      </c>
      <c r="C37" s="10" t="s">
        <v>57</v>
      </c>
      <c r="D37" s="11">
        <v>3378.9429034677401</v>
      </c>
      <c r="E37" s="22">
        <v>1629.50023081008</v>
      </c>
      <c r="F37" s="22">
        <v>409.8</v>
      </c>
      <c r="G37" s="23">
        <v>93</v>
      </c>
      <c r="J37" s="9">
        <f t="shared" si="0"/>
        <v>29</v>
      </c>
      <c r="K37" s="40" t="s">
        <v>57</v>
      </c>
      <c r="L37" s="11">
        <f t="shared" si="1"/>
        <v>3378.9429034677401</v>
      </c>
      <c r="M37" s="22">
        <f t="shared" si="2"/>
        <v>1629.50023081008</v>
      </c>
      <c r="N37" s="22">
        <f t="shared" si="3"/>
        <v>37.199999999999989</v>
      </c>
      <c r="O37" s="23">
        <f t="shared" si="4"/>
        <v>93</v>
      </c>
      <c r="R37" s="9">
        <f t="shared" si="5"/>
        <v>29</v>
      </c>
      <c r="S37" s="40" t="s">
        <v>57</v>
      </c>
      <c r="T37" s="89">
        <f t="shared" si="6"/>
        <v>0.67599475033589396</v>
      </c>
      <c r="U37" s="90">
        <f t="shared" si="7"/>
        <v>0.57468737822544191</v>
      </c>
      <c r="V37" s="90">
        <f t="shared" si="8"/>
        <v>0.10877077123216385</v>
      </c>
      <c r="W37" s="91">
        <f t="shared" si="9"/>
        <v>1.1443083049064373</v>
      </c>
      <c r="Z37" s="9">
        <f t="shared" si="10"/>
        <v>29</v>
      </c>
      <c r="AA37" s="40" t="s">
        <v>57</v>
      </c>
      <c r="AB37" s="65">
        <f t="shared" si="11"/>
        <v>6.397750158970906</v>
      </c>
      <c r="AC37" s="71">
        <f t="shared" si="12"/>
        <v>5.5555792112474238</v>
      </c>
      <c r="AD37" s="96">
        <f t="shared" si="13"/>
        <v>0.1089514058228469</v>
      </c>
      <c r="AE37" s="72">
        <f t="shared" si="14"/>
        <v>0.38581062443403624</v>
      </c>
      <c r="AF37" s="73" t="str">
        <f t="shared" si="15"/>
        <v>Bardzo wysokie obciążenie</v>
      </c>
      <c r="AI37" s="9">
        <f t="shared" si="16"/>
        <v>29</v>
      </c>
      <c r="AJ37" s="78" t="s">
        <v>58</v>
      </c>
      <c r="AK37" s="82">
        <v>0.27177774042678299</v>
      </c>
      <c r="AL37" s="83" t="str">
        <f t="shared" si="17"/>
        <v>Wysokie obciążenie</v>
      </c>
    </row>
    <row r="38" spans="2:38" ht="20.75" customHeight="1" x14ac:dyDescent="0.2">
      <c r="B38" s="9">
        <f t="shared" si="18"/>
        <v>30</v>
      </c>
      <c r="C38" s="10" t="s">
        <v>58</v>
      </c>
      <c r="D38" s="11">
        <v>1578.84460862385</v>
      </c>
      <c r="E38" s="22">
        <v>1561.7979519083201</v>
      </c>
      <c r="F38" s="22">
        <v>418.8</v>
      </c>
      <c r="G38" s="23">
        <v>104</v>
      </c>
      <c r="J38" s="9">
        <f t="shared" si="0"/>
        <v>30</v>
      </c>
      <c r="K38" s="40" t="s">
        <v>58</v>
      </c>
      <c r="L38" s="11">
        <f t="shared" si="1"/>
        <v>1578.84460862385</v>
      </c>
      <c r="M38" s="22">
        <f t="shared" si="2"/>
        <v>1561.7979519083201</v>
      </c>
      <c r="N38" s="22">
        <f t="shared" si="3"/>
        <v>28.199999999999989</v>
      </c>
      <c r="O38" s="23">
        <f t="shared" si="4"/>
        <v>104</v>
      </c>
      <c r="R38" s="9">
        <f t="shared" si="5"/>
        <v>30</v>
      </c>
      <c r="S38" s="40" t="s">
        <v>58</v>
      </c>
      <c r="T38" s="89">
        <f t="shared" si="6"/>
        <v>-0.41174688708118884</v>
      </c>
      <c r="U38" s="90">
        <f t="shared" si="7"/>
        <v>0.48298219668334186</v>
      </c>
      <c r="V38" s="90">
        <f t="shared" si="8"/>
        <v>-0.27837943145859045</v>
      </c>
      <c r="W38" s="91">
        <f t="shared" si="9"/>
        <v>1.5996661316650713</v>
      </c>
      <c r="Z38" s="9">
        <f t="shared" si="10"/>
        <v>30</v>
      </c>
      <c r="AA38" s="40" t="s">
        <v>58</v>
      </c>
      <c r="AB38" s="65">
        <f t="shared" si="11"/>
        <v>6.576167649495992</v>
      </c>
      <c r="AC38" s="71">
        <f t="shared" si="12"/>
        <v>6.5870505212249233</v>
      </c>
      <c r="AD38" s="96">
        <f t="shared" si="13"/>
        <v>8.4102255706211881E-2</v>
      </c>
      <c r="AE38" s="72">
        <f t="shared" si="14"/>
        <v>0.2717777404267826</v>
      </c>
      <c r="AF38" s="73" t="str">
        <f t="shared" si="15"/>
        <v>Wysokie obciążenie</v>
      </c>
      <c r="AI38" s="9">
        <f t="shared" si="16"/>
        <v>30</v>
      </c>
      <c r="AJ38" s="78" t="s">
        <v>46</v>
      </c>
      <c r="AK38" s="82">
        <v>0.27873186514083698</v>
      </c>
      <c r="AL38" s="83" t="str">
        <f t="shared" si="17"/>
        <v>Wysokie obciążenie</v>
      </c>
    </row>
    <row r="39" spans="2:38" ht="20.75" customHeight="1" x14ac:dyDescent="0.2">
      <c r="B39" s="9">
        <f t="shared" si="18"/>
        <v>31</v>
      </c>
      <c r="C39" s="10" t="s">
        <v>59</v>
      </c>
      <c r="D39" s="11">
        <v>4770.2391363666302</v>
      </c>
      <c r="E39" s="22">
        <v>3390.3525738415801</v>
      </c>
      <c r="F39" s="22">
        <v>418.2</v>
      </c>
      <c r="G39" s="23">
        <v>90</v>
      </c>
      <c r="J39" s="9">
        <f t="shared" si="0"/>
        <v>31</v>
      </c>
      <c r="K39" s="40" t="s">
        <v>59</v>
      </c>
      <c r="L39" s="11">
        <f t="shared" si="1"/>
        <v>4770.2391363666302</v>
      </c>
      <c r="M39" s="22">
        <f t="shared" si="2"/>
        <v>3390.3525738415801</v>
      </c>
      <c r="N39" s="22">
        <f t="shared" si="3"/>
        <v>28.800000000000011</v>
      </c>
      <c r="O39" s="23">
        <f t="shared" si="4"/>
        <v>90</v>
      </c>
      <c r="R39" s="9">
        <f t="shared" si="5"/>
        <v>31</v>
      </c>
      <c r="S39" s="40" t="s">
        <v>59</v>
      </c>
      <c r="T39" s="89">
        <f t="shared" si="6"/>
        <v>1.516710419497117</v>
      </c>
      <c r="U39" s="90">
        <f t="shared" si="7"/>
        <v>2.9598254622898241</v>
      </c>
      <c r="V39" s="90">
        <f t="shared" si="8"/>
        <v>-0.25256941794587251</v>
      </c>
      <c r="W39" s="91">
        <f t="shared" si="9"/>
        <v>1.0201198066995372</v>
      </c>
      <c r="Z39" s="9">
        <f t="shared" si="10"/>
        <v>31</v>
      </c>
      <c r="AA39" s="40" t="s">
        <v>59</v>
      </c>
      <c r="AB39" s="65">
        <f t="shared" si="11"/>
        <v>6.2086881787929391</v>
      </c>
      <c r="AC39" s="71">
        <f t="shared" si="12"/>
        <v>4.5605217108297369</v>
      </c>
      <c r="AD39" s="96">
        <f t="shared" si="13"/>
        <v>0.13528307046494104</v>
      </c>
      <c r="AE39" s="72">
        <f t="shared" si="14"/>
        <v>0.49581783009073355</v>
      </c>
      <c r="AF39" s="73" t="str">
        <f t="shared" si="15"/>
        <v>Bardzo wysokie obciążenie</v>
      </c>
      <c r="AI39" s="9">
        <f t="shared" si="16"/>
        <v>31</v>
      </c>
      <c r="AJ39" s="78" t="s">
        <v>53</v>
      </c>
      <c r="AK39" s="82">
        <v>0.282925368860933</v>
      </c>
      <c r="AL39" s="83" t="str">
        <f t="shared" si="17"/>
        <v>Wysokie obciążenie</v>
      </c>
    </row>
    <row r="40" spans="2:38" ht="20.75" customHeight="1" x14ac:dyDescent="0.2">
      <c r="B40" s="9">
        <f t="shared" si="18"/>
        <v>32</v>
      </c>
      <c r="C40" s="10" t="s">
        <v>55</v>
      </c>
      <c r="D40" s="11">
        <v>1639.7540387204399</v>
      </c>
      <c r="E40" s="22">
        <v>533.75388517042904</v>
      </c>
      <c r="F40" s="22">
        <v>361.8</v>
      </c>
      <c r="G40" s="23">
        <v>80</v>
      </c>
      <c r="J40" s="9">
        <f t="shared" si="0"/>
        <v>32</v>
      </c>
      <c r="K40" s="40" t="s">
        <v>55</v>
      </c>
      <c r="L40" s="11">
        <f t="shared" si="1"/>
        <v>1639.7540387204399</v>
      </c>
      <c r="M40" s="22">
        <f t="shared" si="2"/>
        <v>533.75388517042904</v>
      </c>
      <c r="N40" s="22">
        <f t="shared" si="3"/>
        <v>85.199999999999989</v>
      </c>
      <c r="O40" s="23">
        <f t="shared" si="4"/>
        <v>80</v>
      </c>
      <c r="R40" s="9">
        <f t="shared" si="5"/>
        <v>32</v>
      </c>
      <c r="S40" s="40" t="s">
        <v>55</v>
      </c>
      <c r="T40" s="89">
        <f t="shared" si="6"/>
        <v>-0.37494127295601587</v>
      </c>
      <c r="U40" s="90">
        <f t="shared" si="7"/>
        <v>-0.90954061499746985</v>
      </c>
      <c r="V40" s="90">
        <f t="shared" si="8"/>
        <v>2.1735718522495202</v>
      </c>
      <c r="W40" s="91">
        <f t="shared" si="9"/>
        <v>0.60615814600986984</v>
      </c>
      <c r="Z40" s="9">
        <f t="shared" si="10"/>
        <v>32</v>
      </c>
      <c r="AA40" s="40" t="s">
        <v>55</v>
      </c>
      <c r="AB40" s="65">
        <f t="shared" si="11"/>
        <v>6.3917494740387903</v>
      </c>
      <c r="AC40" s="71">
        <f t="shared" si="12"/>
        <v>6.7409025507051608</v>
      </c>
      <c r="AD40" s="96">
        <f t="shared" si="13"/>
        <v>0.10978715303710218</v>
      </c>
      <c r="AE40" s="72">
        <f t="shared" si="14"/>
        <v>0.25476884210620476</v>
      </c>
      <c r="AF40" s="73" t="str">
        <f t="shared" si="15"/>
        <v>Wysokie obciążenie</v>
      </c>
      <c r="AI40" s="9">
        <f t="shared" si="16"/>
        <v>32</v>
      </c>
      <c r="AJ40" s="78" t="s">
        <v>60</v>
      </c>
      <c r="AK40" s="82">
        <v>0.28688308708864402</v>
      </c>
      <c r="AL40" s="83" t="str">
        <f t="shared" si="17"/>
        <v>Wysokie obciążenie</v>
      </c>
    </row>
    <row r="41" spans="2:38" ht="20.75" customHeight="1" x14ac:dyDescent="0.2">
      <c r="B41" s="9">
        <f t="shared" si="18"/>
        <v>33</v>
      </c>
      <c r="C41" s="10" t="s">
        <v>27</v>
      </c>
      <c r="D41" s="11">
        <v>1719.39186259485</v>
      </c>
      <c r="E41" s="22">
        <v>500.49285340451797</v>
      </c>
      <c r="F41" s="22">
        <v>394.2</v>
      </c>
      <c r="G41" s="23">
        <v>8</v>
      </c>
      <c r="J41" s="9">
        <f t="shared" si="0"/>
        <v>33</v>
      </c>
      <c r="K41" s="40" t="s">
        <v>27</v>
      </c>
      <c r="L41" s="11">
        <f t="shared" si="1"/>
        <v>1719.39186259485</v>
      </c>
      <c r="M41" s="22">
        <f t="shared" si="2"/>
        <v>500.49285340451797</v>
      </c>
      <c r="N41" s="22">
        <f t="shared" si="3"/>
        <v>52.800000000000011</v>
      </c>
      <c r="O41" s="23">
        <f t="shared" si="4"/>
        <v>8</v>
      </c>
      <c r="R41" s="9">
        <f t="shared" si="5"/>
        <v>33</v>
      </c>
      <c r="S41" s="40" t="s">
        <v>27</v>
      </c>
      <c r="T41" s="89">
        <f t="shared" si="6"/>
        <v>-0.32681869143387937</v>
      </c>
      <c r="U41" s="90">
        <f t="shared" si="7"/>
        <v>-0.95459388360008912</v>
      </c>
      <c r="V41" s="90">
        <f t="shared" si="8"/>
        <v>0.77983112256280562</v>
      </c>
      <c r="W41" s="91">
        <f t="shared" si="9"/>
        <v>-2.3743658109557351</v>
      </c>
      <c r="Z41" s="9">
        <f t="shared" si="10"/>
        <v>33</v>
      </c>
      <c r="AA41" s="40" t="s">
        <v>27</v>
      </c>
      <c r="AB41" s="65">
        <f t="shared" si="11"/>
        <v>6.8235784725512056</v>
      </c>
      <c r="AC41" s="71">
        <f t="shared" si="12"/>
        <v>8.0716910798801305</v>
      </c>
      <c r="AD41" s="96">
        <f t="shared" si="13"/>
        <v>4.9644038272003588E-2</v>
      </c>
      <c r="AE41" s="72">
        <f t="shared" si="14"/>
        <v>0.10764535692763655</v>
      </c>
      <c r="AF41" s="73" t="str">
        <f t="shared" si="15"/>
        <v>Słabe obciążenie</v>
      </c>
      <c r="AI41" s="9">
        <f t="shared" si="16"/>
        <v>33</v>
      </c>
      <c r="AJ41" s="78" t="s">
        <v>32</v>
      </c>
      <c r="AK41" s="82">
        <v>0.31166391365784601</v>
      </c>
      <c r="AL41" s="83" t="str">
        <f t="shared" si="17"/>
        <v>Wysokie obciążenie</v>
      </c>
    </row>
    <row r="42" spans="2:38" ht="20.75" customHeight="1" x14ac:dyDescent="0.2">
      <c r="B42" s="9">
        <f t="shared" si="18"/>
        <v>34</v>
      </c>
      <c r="C42" s="10" t="s">
        <v>61</v>
      </c>
      <c r="D42" s="11">
        <v>4541.4341871788101</v>
      </c>
      <c r="E42" s="22">
        <v>1601.3234894310999</v>
      </c>
      <c r="F42" s="22">
        <v>417</v>
      </c>
      <c r="G42" s="23">
        <v>51</v>
      </c>
      <c r="J42" s="9">
        <f t="shared" si="0"/>
        <v>34</v>
      </c>
      <c r="K42" s="40" t="s">
        <v>61</v>
      </c>
      <c r="L42" s="11">
        <f t="shared" si="1"/>
        <v>4541.4341871788101</v>
      </c>
      <c r="M42" s="22">
        <f t="shared" si="2"/>
        <v>1601.3234894310999</v>
      </c>
      <c r="N42" s="22">
        <f t="shared" si="3"/>
        <v>30</v>
      </c>
      <c r="O42" s="23">
        <f t="shared" si="4"/>
        <v>51</v>
      </c>
      <c r="R42" s="9">
        <f t="shared" si="5"/>
        <v>34</v>
      </c>
      <c r="S42" s="40" t="s">
        <v>61</v>
      </c>
      <c r="T42" s="89">
        <f t="shared" si="6"/>
        <v>1.3784509306727719</v>
      </c>
      <c r="U42" s="90">
        <f t="shared" si="7"/>
        <v>0.5365209645486787</v>
      </c>
      <c r="V42" s="90">
        <f t="shared" si="8"/>
        <v>-0.20094939092043912</v>
      </c>
      <c r="W42" s="91">
        <f t="shared" si="9"/>
        <v>-0.59433066999016537</v>
      </c>
      <c r="Z42" s="9">
        <f t="shared" si="10"/>
        <v>34</v>
      </c>
      <c r="AA42" s="40" t="s">
        <v>61</v>
      </c>
      <c r="AB42" s="65">
        <f t="shared" si="11"/>
        <v>6.5002859180096308</v>
      </c>
      <c r="AC42" s="71">
        <f t="shared" si="12"/>
        <v>5.7359153133487721</v>
      </c>
      <c r="AD42" s="96">
        <f t="shared" si="13"/>
        <v>9.4670706878041688E-2</v>
      </c>
      <c r="AE42" s="72">
        <f t="shared" si="14"/>
        <v>0.36587381609596248</v>
      </c>
      <c r="AF42" s="73" t="str">
        <f t="shared" si="15"/>
        <v>Wysokie obciążenie</v>
      </c>
      <c r="AI42" s="9">
        <f t="shared" si="16"/>
        <v>34</v>
      </c>
      <c r="AJ42" s="78" t="s">
        <v>56</v>
      </c>
      <c r="AK42" s="82">
        <v>0.32149555153265003</v>
      </c>
      <c r="AL42" s="83" t="str">
        <f t="shared" si="17"/>
        <v>Wysokie obciążenie</v>
      </c>
    </row>
    <row r="43" spans="2:38" ht="20.75" customHeight="1" x14ac:dyDescent="0.2">
      <c r="B43" s="9">
        <f t="shared" si="18"/>
        <v>35</v>
      </c>
      <c r="C43" s="10" t="s">
        <v>41</v>
      </c>
      <c r="D43" s="11">
        <v>1105.0990330918401</v>
      </c>
      <c r="E43" s="22">
        <v>1183.23859537771</v>
      </c>
      <c r="F43" s="22">
        <v>424.2</v>
      </c>
      <c r="G43" s="23">
        <v>49</v>
      </c>
      <c r="J43" s="9">
        <f t="shared" si="0"/>
        <v>35</v>
      </c>
      <c r="K43" s="40" t="s">
        <v>41</v>
      </c>
      <c r="L43" s="11">
        <f t="shared" si="1"/>
        <v>1105.0990330918401</v>
      </c>
      <c r="M43" s="22">
        <f t="shared" si="2"/>
        <v>1183.23859537771</v>
      </c>
      <c r="N43" s="22">
        <f t="shared" si="3"/>
        <v>22.800000000000011</v>
      </c>
      <c r="O43" s="23">
        <f t="shared" si="4"/>
        <v>49</v>
      </c>
      <c r="R43" s="9">
        <f t="shared" si="5"/>
        <v>35</v>
      </c>
      <c r="S43" s="40" t="s">
        <v>41</v>
      </c>
      <c r="T43" s="89">
        <f t="shared" si="6"/>
        <v>-0.69801613666845996</v>
      </c>
      <c r="U43" s="90">
        <f t="shared" si="7"/>
        <v>-2.9790121741492995E-2</v>
      </c>
      <c r="V43" s="90">
        <f t="shared" si="8"/>
        <v>-0.51066955307304207</v>
      </c>
      <c r="W43" s="91">
        <f t="shared" si="9"/>
        <v>-0.67712300212809884</v>
      </c>
      <c r="Z43" s="9">
        <f t="shared" si="10"/>
        <v>35</v>
      </c>
      <c r="AA43" s="40" t="s">
        <v>41</v>
      </c>
      <c r="AB43" s="65">
        <f t="shared" si="11"/>
        <v>6.849336605585866</v>
      </c>
      <c r="AC43" s="71">
        <f t="shared" si="12"/>
        <v>7.5783122011662574</v>
      </c>
      <c r="AD43" s="96">
        <f t="shared" si="13"/>
        <v>4.6056566479754979E-2</v>
      </c>
      <c r="AE43" s="72">
        <f t="shared" si="14"/>
        <v>0.16219017645270439</v>
      </c>
      <c r="AF43" s="73" t="str">
        <f t="shared" si="15"/>
        <v xml:space="preserve">Pomierne obciążenie </v>
      </c>
      <c r="AI43" s="9">
        <f t="shared" si="16"/>
        <v>35</v>
      </c>
      <c r="AJ43" s="78" t="s">
        <v>51</v>
      </c>
      <c r="AK43" s="82">
        <v>0.34483281538898403</v>
      </c>
      <c r="AL43" s="83" t="str">
        <f t="shared" si="17"/>
        <v>Wysokie obciążenie</v>
      </c>
    </row>
    <row r="44" spans="2:38" ht="20.75" customHeight="1" x14ac:dyDescent="0.2">
      <c r="B44" s="9">
        <f t="shared" si="18"/>
        <v>36</v>
      </c>
      <c r="C44" s="10" t="s">
        <v>49</v>
      </c>
      <c r="D44" s="11">
        <v>1380.18551042386</v>
      </c>
      <c r="E44" s="22">
        <v>914.64687728266495</v>
      </c>
      <c r="F44" s="22">
        <v>415.8</v>
      </c>
      <c r="G44" s="23">
        <v>86</v>
      </c>
      <c r="J44" s="9">
        <f t="shared" si="0"/>
        <v>36</v>
      </c>
      <c r="K44" s="40" t="s">
        <v>49</v>
      </c>
      <c r="L44" s="11">
        <f t="shared" si="1"/>
        <v>1380.18551042386</v>
      </c>
      <c r="M44" s="22">
        <f t="shared" si="2"/>
        <v>914.64687728266495</v>
      </c>
      <c r="N44" s="22">
        <f t="shared" si="3"/>
        <v>31.199999999999989</v>
      </c>
      <c r="O44" s="23">
        <f t="shared" si="4"/>
        <v>86</v>
      </c>
      <c r="R44" s="9">
        <f t="shared" si="5"/>
        <v>36</v>
      </c>
      <c r="S44" s="40" t="s">
        <v>49</v>
      </c>
      <c r="T44" s="89">
        <f t="shared" si="6"/>
        <v>-0.53179020548375311</v>
      </c>
      <c r="U44" s="90">
        <f t="shared" si="7"/>
        <v>-0.39360730290835033</v>
      </c>
      <c r="V44" s="90">
        <f t="shared" si="8"/>
        <v>-0.1493293638950057</v>
      </c>
      <c r="W44" s="91">
        <f t="shared" si="9"/>
        <v>0.85453514242367024</v>
      </c>
      <c r="Z44" s="9">
        <f t="shared" si="10"/>
        <v>36</v>
      </c>
      <c r="AA44" s="40" t="s">
        <v>49</v>
      </c>
      <c r="AB44" s="65">
        <f t="shared" si="11"/>
        <v>6.6772181187121697</v>
      </c>
      <c r="AC44" s="71">
        <f t="shared" si="12"/>
        <v>7.0803867020651747</v>
      </c>
      <c r="AD44" s="96">
        <f t="shared" si="13"/>
        <v>7.0028420952011339E-2</v>
      </c>
      <c r="AE44" s="72">
        <f t="shared" si="14"/>
        <v>0.21723764130607603</v>
      </c>
      <c r="AF44" s="73" t="str">
        <f t="shared" si="15"/>
        <v xml:space="preserve">Pomierne obciążenie </v>
      </c>
      <c r="AI44" s="9">
        <f t="shared" si="16"/>
        <v>36</v>
      </c>
      <c r="AJ44" s="78" t="s">
        <v>61</v>
      </c>
      <c r="AK44" s="82">
        <v>0.36587381609596298</v>
      </c>
      <c r="AL44" s="83" t="str">
        <f t="shared" si="17"/>
        <v>Wysokie obciążenie</v>
      </c>
    </row>
    <row r="45" spans="2:38" ht="20.75" customHeight="1" x14ac:dyDescent="0.2">
      <c r="B45" s="9">
        <f t="shared" si="18"/>
        <v>37</v>
      </c>
      <c r="C45" s="10" t="s">
        <v>33</v>
      </c>
      <c r="D45" s="11">
        <v>1891.7876898826701</v>
      </c>
      <c r="E45" s="22">
        <v>916.12854160155098</v>
      </c>
      <c r="F45" s="22">
        <v>435</v>
      </c>
      <c r="G45" s="23">
        <v>29</v>
      </c>
      <c r="J45" s="9">
        <f t="shared" si="0"/>
        <v>37</v>
      </c>
      <c r="K45" s="40" t="s">
        <v>33</v>
      </c>
      <c r="L45" s="11">
        <f t="shared" si="1"/>
        <v>1891.7876898826701</v>
      </c>
      <c r="M45" s="22">
        <f t="shared" si="2"/>
        <v>916.12854160155098</v>
      </c>
      <c r="N45" s="22">
        <f t="shared" si="3"/>
        <v>12</v>
      </c>
      <c r="O45" s="23">
        <f t="shared" si="4"/>
        <v>29</v>
      </c>
      <c r="R45" s="9">
        <f t="shared" si="5"/>
        <v>37</v>
      </c>
      <c r="S45" s="40" t="s">
        <v>33</v>
      </c>
      <c r="T45" s="89">
        <f t="shared" si="6"/>
        <v>-0.22264542489890465</v>
      </c>
      <c r="U45" s="90">
        <f t="shared" si="7"/>
        <v>-0.39160033508463704</v>
      </c>
      <c r="V45" s="90">
        <f t="shared" si="8"/>
        <v>-0.97524979630194775</v>
      </c>
      <c r="W45" s="91">
        <f t="shared" si="9"/>
        <v>-1.5050463235074334</v>
      </c>
      <c r="Z45" s="9">
        <f t="shared" si="10"/>
        <v>37</v>
      </c>
      <c r="AA45" s="40" t="s">
        <v>33</v>
      </c>
      <c r="AB45" s="65">
        <f t="shared" si="11"/>
        <v>6.9682160434867413</v>
      </c>
      <c r="AC45" s="71">
        <f t="shared" si="12"/>
        <v>7.9159335577100727</v>
      </c>
      <c r="AD45" s="96">
        <f t="shared" si="13"/>
        <v>2.9499596703494779E-2</v>
      </c>
      <c r="AE45" s="72">
        <f t="shared" si="14"/>
        <v>0.12486491435697789</v>
      </c>
      <c r="AF45" s="73" t="str">
        <f t="shared" si="15"/>
        <v xml:space="preserve">Pomierne obciążenie </v>
      </c>
      <c r="AI45" s="9">
        <f t="shared" si="16"/>
        <v>37</v>
      </c>
      <c r="AJ45" s="78" t="s">
        <v>43</v>
      </c>
      <c r="AK45" s="82">
        <v>0.37060263990554498</v>
      </c>
      <c r="AL45" s="83" t="str">
        <f t="shared" si="17"/>
        <v>Bardzo wysokie obciążenie</v>
      </c>
    </row>
    <row r="46" spans="2:38" ht="20.75" customHeight="1" x14ac:dyDescent="0.2">
      <c r="B46" s="9">
        <f t="shared" si="18"/>
        <v>38</v>
      </c>
      <c r="C46" s="10" t="s">
        <v>38</v>
      </c>
      <c r="D46" s="11">
        <v>1408.5803972113499</v>
      </c>
      <c r="E46" s="22">
        <v>622.60118506019001</v>
      </c>
      <c r="F46" s="22">
        <v>427.8</v>
      </c>
      <c r="G46" s="23">
        <v>58</v>
      </c>
      <c r="J46" s="9">
        <f t="shared" si="0"/>
        <v>38</v>
      </c>
      <c r="K46" s="40" t="s">
        <v>38</v>
      </c>
      <c r="L46" s="11">
        <f t="shared" si="1"/>
        <v>1408.5803972113499</v>
      </c>
      <c r="M46" s="22">
        <f t="shared" si="2"/>
        <v>622.60118506019001</v>
      </c>
      <c r="N46" s="22">
        <f t="shared" si="3"/>
        <v>19.199999999999989</v>
      </c>
      <c r="O46" s="23">
        <f t="shared" si="4"/>
        <v>58</v>
      </c>
      <c r="R46" s="9">
        <f t="shared" si="5"/>
        <v>38</v>
      </c>
      <c r="S46" s="40" t="s">
        <v>38</v>
      </c>
      <c r="T46" s="89">
        <f t="shared" si="6"/>
        <v>-0.51463208654271186</v>
      </c>
      <c r="U46" s="90">
        <f t="shared" si="7"/>
        <v>-0.78919373896780431</v>
      </c>
      <c r="V46" s="90">
        <f t="shared" si="8"/>
        <v>-0.66552963414934474</v>
      </c>
      <c r="W46" s="91">
        <f t="shared" si="9"/>
        <v>-0.30455750750739824</v>
      </c>
      <c r="Z46" s="9">
        <f t="shared" si="10"/>
        <v>38</v>
      </c>
      <c r="AA46" s="40" t="s">
        <v>38</v>
      </c>
      <c r="AB46" s="65">
        <f t="shared" si="11"/>
        <v>6.8744713539726101</v>
      </c>
      <c r="AC46" s="71">
        <f t="shared" si="12"/>
        <v>7.7254523049422605</v>
      </c>
      <c r="AD46" s="96">
        <f t="shared" si="13"/>
        <v>4.2555916773451385E-2</v>
      </c>
      <c r="AE46" s="72">
        <f t="shared" si="14"/>
        <v>0.1459233057948377</v>
      </c>
      <c r="AF46" s="73" t="str">
        <f t="shared" si="15"/>
        <v xml:space="preserve">Pomierne obciążenie </v>
      </c>
      <c r="AI46" s="9">
        <f t="shared" si="16"/>
        <v>38</v>
      </c>
      <c r="AJ46" s="78" t="s">
        <v>48</v>
      </c>
      <c r="AK46" s="82">
        <v>0.37362341026479301</v>
      </c>
      <c r="AL46" s="83" t="str">
        <f t="shared" si="17"/>
        <v>Bardzo wysokie obciążenie</v>
      </c>
    </row>
    <row r="47" spans="2:38" ht="20.75" customHeight="1" x14ac:dyDescent="0.2">
      <c r="B47" s="9">
        <f t="shared" si="18"/>
        <v>39</v>
      </c>
      <c r="C47" s="10" t="s">
        <v>60</v>
      </c>
      <c r="D47" s="11">
        <v>1465.42230292371</v>
      </c>
      <c r="E47" s="22">
        <v>2030.8043947158701</v>
      </c>
      <c r="F47" s="22">
        <v>402</v>
      </c>
      <c r="G47" s="23">
        <v>64</v>
      </c>
      <c r="J47" s="9">
        <f t="shared" si="0"/>
        <v>39</v>
      </c>
      <c r="K47" s="40" t="s">
        <v>60</v>
      </c>
      <c r="L47" s="11">
        <f t="shared" si="1"/>
        <v>1465.42230292371</v>
      </c>
      <c r="M47" s="22">
        <f t="shared" si="2"/>
        <v>2030.8043947158701</v>
      </c>
      <c r="N47" s="22">
        <f t="shared" si="3"/>
        <v>45</v>
      </c>
      <c r="O47" s="23">
        <f t="shared" si="4"/>
        <v>64</v>
      </c>
      <c r="R47" s="9">
        <f t="shared" si="5"/>
        <v>39</v>
      </c>
      <c r="S47" s="40" t="s">
        <v>60</v>
      </c>
      <c r="T47" s="89">
        <f t="shared" si="6"/>
        <v>-0.48028434688284405</v>
      </c>
      <c r="U47" s="90">
        <f t="shared" si="7"/>
        <v>1.1182683595685166</v>
      </c>
      <c r="V47" s="90">
        <f t="shared" si="8"/>
        <v>0.44430094689748473</v>
      </c>
      <c r="W47" s="91">
        <f t="shared" si="9"/>
        <v>-5.6180511093597875E-2</v>
      </c>
      <c r="Z47" s="9">
        <f t="shared" si="10"/>
        <v>39</v>
      </c>
      <c r="AA47" s="40" t="s">
        <v>60</v>
      </c>
      <c r="AB47" s="65">
        <f t="shared" si="11"/>
        <v>6.5427296687886471</v>
      </c>
      <c r="AC47" s="71">
        <f t="shared" si="12"/>
        <v>6.4504168488889428</v>
      </c>
      <c r="AD47" s="96">
        <f t="shared" si="13"/>
        <v>8.8759340612790227E-2</v>
      </c>
      <c r="AE47" s="72">
        <f t="shared" si="14"/>
        <v>0.28688308708864352</v>
      </c>
      <c r="AF47" s="73" t="str">
        <f t="shared" si="15"/>
        <v>Wysokie obciążenie</v>
      </c>
      <c r="AI47" s="9">
        <f t="shared" si="16"/>
        <v>39</v>
      </c>
      <c r="AJ47" s="78" t="s">
        <v>57</v>
      </c>
      <c r="AK47" s="82">
        <v>0.38581062443403602</v>
      </c>
      <c r="AL47" s="83" t="str">
        <f t="shared" si="17"/>
        <v>Bardzo wysokie obciążenie</v>
      </c>
    </row>
    <row r="48" spans="2:38" ht="20.75" customHeight="1" x14ac:dyDescent="0.2">
      <c r="B48" s="9">
        <f t="shared" si="18"/>
        <v>40</v>
      </c>
      <c r="C48" s="10" t="s">
        <v>62</v>
      </c>
      <c r="D48" s="11">
        <v>10481.055989275999</v>
      </c>
      <c r="E48" s="22">
        <v>2917.5568827513198</v>
      </c>
      <c r="F48" s="22">
        <v>412.2</v>
      </c>
      <c r="G48" s="23">
        <v>95</v>
      </c>
      <c r="J48" s="9">
        <f t="shared" si="0"/>
        <v>40</v>
      </c>
      <c r="K48" s="40" t="s">
        <v>62</v>
      </c>
      <c r="L48" s="11">
        <f t="shared" si="1"/>
        <v>10481.055989275999</v>
      </c>
      <c r="M48" s="22">
        <f t="shared" si="2"/>
        <v>2917.5568827513198</v>
      </c>
      <c r="N48" s="22">
        <f t="shared" si="3"/>
        <v>34.800000000000011</v>
      </c>
      <c r="O48" s="23">
        <f t="shared" si="4"/>
        <v>95</v>
      </c>
      <c r="R48" s="9">
        <f t="shared" si="5"/>
        <v>40</v>
      </c>
      <c r="S48" s="40" t="s">
        <v>62</v>
      </c>
      <c r="T48" s="89">
        <f t="shared" si="6"/>
        <v>4.9675737931060695</v>
      </c>
      <c r="U48" s="90">
        <f t="shared" si="7"/>
        <v>2.3194066257737034</v>
      </c>
      <c r="V48" s="90">
        <f t="shared" si="8"/>
        <v>5.5307171812970053E-3</v>
      </c>
      <c r="W48" s="91">
        <f t="shared" si="9"/>
        <v>1.2271006370443709</v>
      </c>
      <c r="Z48" s="9">
        <f t="shared" si="10"/>
        <v>40</v>
      </c>
      <c r="AA48" s="40" t="s">
        <v>62</v>
      </c>
      <c r="AB48" s="65">
        <f t="shared" si="11"/>
        <v>5.7671393864517038</v>
      </c>
      <c r="AC48" s="71">
        <f t="shared" si="12"/>
        <v>2.7508084198606992</v>
      </c>
      <c r="AD48" s="96">
        <f t="shared" si="13"/>
        <v>0.1967799124640921</v>
      </c>
      <c r="AE48" s="72">
        <f t="shared" si="14"/>
        <v>0.69588817989034091</v>
      </c>
      <c r="AF48" s="73" t="str">
        <f t="shared" si="15"/>
        <v>Bardzo wysokie obciążenie</v>
      </c>
      <c r="AI48" s="9">
        <f t="shared" si="16"/>
        <v>40</v>
      </c>
      <c r="AJ48" s="78" t="s">
        <v>45</v>
      </c>
      <c r="AK48" s="82">
        <v>0.47802075697098101</v>
      </c>
      <c r="AL48" s="83" t="str">
        <f t="shared" si="17"/>
        <v>Bardzo wysokie obciążenie</v>
      </c>
    </row>
    <row r="49" spans="2:38" ht="20.75" customHeight="1" x14ac:dyDescent="0.2">
      <c r="B49" s="9">
        <f t="shared" si="18"/>
        <v>41</v>
      </c>
      <c r="C49" s="10" t="s">
        <v>44</v>
      </c>
      <c r="D49" s="11">
        <v>1015.06614464093</v>
      </c>
      <c r="E49" s="22">
        <v>391.39471717254202</v>
      </c>
      <c r="F49" s="22">
        <v>405</v>
      </c>
      <c r="G49" s="23">
        <v>80</v>
      </c>
      <c r="J49" s="9">
        <f t="shared" si="0"/>
        <v>41</v>
      </c>
      <c r="K49" s="40" t="s">
        <v>44</v>
      </c>
      <c r="L49" s="11">
        <f t="shared" si="1"/>
        <v>1015.06614464093</v>
      </c>
      <c r="M49" s="22">
        <f t="shared" si="2"/>
        <v>391.39471717254202</v>
      </c>
      <c r="N49" s="22">
        <f t="shared" si="3"/>
        <v>42</v>
      </c>
      <c r="O49" s="23">
        <f t="shared" si="4"/>
        <v>80</v>
      </c>
      <c r="R49" s="9">
        <f t="shared" si="5"/>
        <v>41</v>
      </c>
      <c r="S49" s="40" t="s">
        <v>44</v>
      </c>
      <c r="T49" s="89">
        <f t="shared" si="6"/>
        <v>-0.75242012215386123</v>
      </c>
      <c r="U49" s="90">
        <f t="shared" si="7"/>
        <v>-1.1023712487250621</v>
      </c>
      <c r="V49" s="90">
        <f t="shared" si="8"/>
        <v>0.31525087933389995</v>
      </c>
      <c r="W49" s="91">
        <f t="shared" si="9"/>
        <v>0.60615814600986984</v>
      </c>
      <c r="Z49" s="9">
        <f t="shared" si="10"/>
        <v>41</v>
      </c>
      <c r="AA49" s="40" t="s">
        <v>44</v>
      </c>
      <c r="AB49" s="65">
        <f t="shared" si="11"/>
        <v>6.697919150729315</v>
      </c>
      <c r="AC49" s="71">
        <f t="shared" si="12"/>
        <v>7.4922133402894717</v>
      </c>
      <c r="AD49" s="96">
        <f t="shared" si="13"/>
        <v>6.7145278438071609E-2</v>
      </c>
      <c r="AE49" s="72">
        <f t="shared" si="14"/>
        <v>0.17170871693031908</v>
      </c>
      <c r="AF49" s="73" t="str">
        <f t="shared" si="15"/>
        <v xml:space="preserve">Pomierne obciążenie </v>
      </c>
      <c r="AI49" s="9">
        <f t="shared" si="16"/>
        <v>41</v>
      </c>
      <c r="AJ49" s="78" t="s">
        <v>59</v>
      </c>
      <c r="AK49" s="82">
        <v>0.49581783009073399</v>
      </c>
      <c r="AL49" s="83" t="str">
        <f t="shared" si="17"/>
        <v>Bardzo wysokie obciążenie</v>
      </c>
    </row>
    <row r="50" spans="2:38" ht="20.75" customHeight="1" x14ac:dyDescent="0.2">
      <c r="B50" s="12">
        <f t="shared" si="18"/>
        <v>42</v>
      </c>
      <c r="C50" s="13" t="s">
        <v>35</v>
      </c>
      <c r="D50" s="14">
        <v>2137.2482049401001</v>
      </c>
      <c r="E50" s="24">
        <v>865.76597828073102</v>
      </c>
      <c r="F50" s="24">
        <v>442.2</v>
      </c>
      <c r="G50" s="25">
        <v>35</v>
      </c>
      <c r="J50" s="12">
        <f t="shared" si="0"/>
        <v>42</v>
      </c>
      <c r="K50" s="41" t="s">
        <v>35</v>
      </c>
      <c r="L50" s="14">
        <f t="shared" si="1"/>
        <v>2137.2482049401001</v>
      </c>
      <c r="M50" s="24">
        <f t="shared" si="2"/>
        <v>865.76597828073102</v>
      </c>
      <c r="N50" s="24">
        <f t="shared" si="3"/>
        <v>4.8000000000000114</v>
      </c>
      <c r="O50" s="25">
        <f t="shared" si="4"/>
        <v>35</v>
      </c>
      <c r="R50" s="12">
        <f t="shared" si="5"/>
        <v>42</v>
      </c>
      <c r="S50" s="41" t="s">
        <v>35</v>
      </c>
      <c r="T50" s="92">
        <f t="shared" si="6"/>
        <v>-7.4321512068930937E-2</v>
      </c>
      <c r="U50" s="93">
        <f t="shared" si="7"/>
        <v>-0.45981824572488361</v>
      </c>
      <c r="V50" s="93">
        <f t="shared" si="8"/>
        <v>-1.2849699584545506</v>
      </c>
      <c r="W50" s="94">
        <f t="shared" si="9"/>
        <v>-1.2566693270936331</v>
      </c>
      <c r="Z50" s="12">
        <f t="shared" si="10"/>
        <v>42</v>
      </c>
      <c r="AA50" s="41" t="s">
        <v>35</v>
      </c>
      <c r="AB50" s="66">
        <f t="shared" si="11"/>
        <v>6.9896738110831125</v>
      </c>
      <c r="AC50" s="74">
        <f t="shared" si="12"/>
        <v>7.8907151812485585</v>
      </c>
      <c r="AD50" s="97">
        <f t="shared" si="13"/>
        <v>2.6511059612199128E-2</v>
      </c>
      <c r="AE50" s="75">
        <f t="shared" si="14"/>
        <v>0.12765289708618222</v>
      </c>
      <c r="AF50" s="76" t="str">
        <f t="shared" si="15"/>
        <v xml:space="preserve">Pomierne obciążenie </v>
      </c>
      <c r="AI50" s="12">
        <f t="shared" si="16"/>
        <v>42</v>
      </c>
      <c r="AJ50" s="79" t="s">
        <v>62</v>
      </c>
      <c r="AK50" s="84">
        <v>0.69588817989034102</v>
      </c>
      <c r="AL50" s="85" t="str">
        <f t="shared" si="17"/>
        <v>Bardzo wysokie obciążenie</v>
      </c>
    </row>
    <row r="51" spans="2:38" ht="43" customHeight="1" x14ac:dyDescent="0.2">
      <c r="C51" s="15" t="s">
        <v>63</v>
      </c>
      <c r="D51" s="16">
        <f>MAX(D9:D50)</f>
        <v>10481.055989275999</v>
      </c>
      <c r="E51" s="26">
        <f>MAX(E9:E50)</f>
        <v>3390.3525738415801</v>
      </c>
      <c r="F51" s="26">
        <f>MAX(F9:F50)</f>
        <v>447</v>
      </c>
      <c r="G51" s="27">
        <f>MAX(G9:G50)</f>
        <v>112</v>
      </c>
      <c r="K51" s="42" t="s">
        <v>64</v>
      </c>
      <c r="L51" s="8">
        <f>AVERAGE(L9:L50)</f>
        <v>2260.2425103370933</v>
      </c>
      <c r="M51" s="20">
        <f>AVERAGE(M9:M50)</f>
        <v>1205.2314544151684</v>
      </c>
      <c r="N51" s="20">
        <f>AVERAGE(N9:N50)</f>
        <v>34.671428571428571</v>
      </c>
      <c r="O51" s="21">
        <f>AVERAGE(O9:O50)</f>
        <v>65.357142857142861</v>
      </c>
      <c r="S51" s="15" t="s">
        <v>63</v>
      </c>
      <c r="T51" s="16">
        <f t="shared" ref="T51:W51" si="19">MAX(T9:T50)</f>
        <v>4.9675737931060695</v>
      </c>
      <c r="U51" s="26">
        <f t="shared" si="19"/>
        <v>2.9598254622898241</v>
      </c>
      <c r="V51" s="26">
        <f t="shared" si="19"/>
        <v>2.5865320684529922</v>
      </c>
      <c r="W51" s="27">
        <f t="shared" si="19"/>
        <v>1.9308354602168052</v>
      </c>
      <c r="AA51" s="42" t="s">
        <v>64</v>
      </c>
      <c r="AB51" s="8">
        <f>AVERAGE(AB9:AB50)</f>
        <v>6.6386484621264197</v>
      </c>
      <c r="AC51" s="20">
        <f>AVERAGE(AC9:AC50)</f>
        <v>6.8231363743244362</v>
      </c>
      <c r="AD51" s="20">
        <f>AVERAGE(AD9:AD50)</f>
        <v>7.5400221573271822E-2</v>
      </c>
      <c r="AE51" s="21">
        <f>AVERAGE(AE9:AE50)</f>
        <v>0.24567759547671361</v>
      </c>
    </row>
    <row r="52" spans="2:38" ht="20" customHeight="1" x14ac:dyDescent="0.2">
      <c r="K52" s="43" t="s">
        <v>65</v>
      </c>
      <c r="L52" s="44">
        <f>STDEV(L9:L50)</f>
        <v>1654.895089902366</v>
      </c>
      <c r="M52" s="56">
        <f>STDEV(M9:M50)</f>
        <v>738.26012623593203</v>
      </c>
      <c r="N52" s="56">
        <f>STDEV(N9:N50)</f>
        <v>23.246791393750012</v>
      </c>
      <c r="O52" s="57">
        <f>STDEV(O9:O50)</f>
        <v>24.156826463928631</v>
      </c>
      <c r="AA52" s="43" t="s">
        <v>65</v>
      </c>
      <c r="AB52" s="44">
        <f>STDEV(AB9:AB50)</f>
        <v>0.27068769464941966</v>
      </c>
      <c r="AC52" s="56">
        <f>STDEV(AC9:AC50)</f>
        <v>1.1111241877490736</v>
      </c>
      <c r="AD52" s="56">
        <f>STDEV(AD9:AD50)</f>
        <v>3.7700110786635821E-2</v>
      </c>
      <c r="AE52" s="57">
        <f>STDEV(AE9:AE50)</f>
        <v>0.12283879773835669</v>
      </c>
    </row>
    <row r="53" spans="2:38" ht="20" customHeight="1" x14ac:dyDescent="0.2"/>
  </sheetData>
  <sortState xmlns:xlrd2="http://schemas.microsoft.com/office/spreadsheetml/2017/richdata2" ref="AJ9:AK49">
    <sortCondition ref="AK49"/>
  </sortState>
  <mergeCells count="7">
    <mergeCell ref="J1:O1"/>
    <mergeCell ref="S6:W6"/>
    <mergeCell ref="B7:G7"/>
    <mergeCell ref="J7:O7"/>
    <mergeCell ref="Z7:AF7"/>
    <mergeCell ref="B1:G3"/>
    <mergeCell ref="B4:G5"/>
  </mergeCells>
  <conditionalFormatting sqref="J3:M6">
    <cfRule type="colorScale" priority="1">
      <colorScale>
        <cfvo type="min"/>
        <cfvo type="percentile" val="50"/>
        <cfvo type="max"/>
        <color theme="5" tint="0.79998168889431442"/>
        <color theme="5" tint="0.59999389629810485"/>
        <color theme="5" tint="0.39997558519241921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  <ignoredErrors>
    <ignoredError sqref="H53:O53 C7:I7 H2:I2 N2 B8:O50 B51:J51 B52:B53 H52:J52 H3:I4" formula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F680A882D48B64D8E2D81755BB40EB0" ma:contentTypeVersion="3" ma:contentTypeDescription="Utwórz nowy dokument." ma:contentTypeScope="" ma:versionID="acad549823a29026599f14b5663948ac">
  <xsd:schema xmlns:xsd="http://www.w3.org/2001/XMLSchema" xmlns:xs="http://www.w3.org/2001/XMLSchema" xmlns:p="http://schemas.microsoft.com/office/2006/metadata/properties" xmlns:ns2="d61fccfa-f5b0-4716-8c30-07555b28eb0c" targetNamespace="http://schemas.microsoft.com/office/2006/metadata/properties" ma:root="true" ma:fieldsID="66b99873cb209abfd849ae433a1efa99" ns2:_="">
    <xsd:import namespace="d61fccfa-f5b0-4716-8c30-07555b28eb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1fccfa-f5b0-4716-8c30-07555b28eb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3067D4-7432-41C8-92C9-869BA1B335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9A67A1-8C18-435B-B232-8CE4867DDC07}">
  <ds:schemaRefs>
    <ds:schemaRef ds:uri="http://purl.org/dc/terms/"/>
    <ds:schemaRef ds:uri="http://purl.org/dc/dcmitype/"/>
    <ds:schemaRef ds:uri="http://purl.org/dc/elements/1.1/"/>
    <ds:schemaRef ds:uri="d61fccfa-f5b0-4716-8c30-07555b28eb0c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9871C12-2B06-45C5-BC03-F82CB27D2E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1fccfa-f5b0-4716-8c30-07555b28eb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xd</dc:creator>
  <cp:keywords/>
  <dc:description/>
  <cp:lastModifiedBy>Nazar Hvozd</cp:lastModifiedBy>
  <cp:revision/>
  <dcterms:created xsi:type="dcterms:W3CDTF">2025-12-19T11:23:30Z</dcterms:created>
  <dcterms:modified xsi:type="dcterms:W3CDTF">2026-06-04T08:22:42Z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A1A3B38D4A236A45A2274569EAE038CA_41</vt:lpwstr>
  </property>
  <property fmtid="{D5CDD505-2E9C-101B-9397-08002B2CF9AE}" pid="3" name="KSOProductBuildVer">
    <vt:lpwstr>1033-12.1.23143.23143</vt:lpwstr>
  </property>
  <property fmtid="{D5CDD505-2E9C-101B-9397-08002B2CF9AE}" pid="4" name="ContentTypeId">
    <vt:lpwstr>0x0101006F680A882D48B64D8E2D81755BB40EB0</vt:lpwstr>
  </property>
</Properties>
</file>